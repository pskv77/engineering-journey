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pavelp/Desktop/"/>
    </mc:Choice>
  </mc:AlternateContent>
  <xr:revisionPtr revIDLastSave="0" documentId="8_{431796D3-4F43-D34C-915E-282915105854}" xr6:coauthVersionLast="47" xr6:coauthVersionMax="47" xr10:uidLastSave="{00000000-0000-0000-0000-000000000000}"/>
  <bookViews>
    <workbookView xWindow="0" yWindow="660" windowWidth="30240" windowHeight="17960" activeTab="5" xr2:uid="{00000000-000D-0000-FFFF-FFFF00000000}"/>
  </bookViews>
  <sheets>
    <sheet name="Dashboard" sheetId="1" r:id="rId1"/>
    <sheet name="Exams" sheetId="2" r:id="rId2"/>
    <sheet name="Competency_Map" sheetId="3" r:id="rId3"/>
    <sheet name="Review_Log" sheetId="4" r:id="rId4"/>
    <sheet name="Scoring_Rules" sheetId="5" r:id="rId5"/>
    <sheet name="Assessment_Plan" sheetId="6" r:id="rId6"/>
    <sheet name="Exam_01_Review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" i="2" l="1"/>
  <c r="T11" i="2"/>
  <c r="S11" i="2"/>
  <c r="R11" i="2"/>
  <c r="Q9" i="2"/>
  <c r="O9" i="2"/>
  <c r="Q8" i="2"/>
  <c r="O8" i="2"/>
  <c r="Q7" i="2"/>
  <c r="O7" i="2"/>
  <c r="B24" i="1" s="1"/>
  <c r="Q6" i="2"/>
  <c r="O6" i="2"/>
  <c r="B23" i="1" s="1"/>
  <c r="Q5" i="2"/>
  <c r="O5" i="2"/>
  <c r="B22" i="1" s="1"/>
  <c r="Q4" i="2"/>
  <c r="O4" i="2"/>
  <c r="B21" i="1" s="1"/>
  <c r="Q3" i="2"/>
  <c r="O3" i="2"/>
  <c r="B20" i="1" s="1"/>
  <c r="B26" i="1"/>
  <c r="B25" i="1"/>
  <c r="A12" i="1"/>
  <c r="I8" i="1"/>
  <c r="G8" i="1"/>
  <c r="E8" i="1"/>
  <c r="C8" i="1"/>
  <c r="A8" i="1"/>
</calcChain>
</file>

<file path=xl/sharedStrings.xml><?xml version="1.0" encoding="utf-8"?>
<sst xmlns="http://schemas.openxmlformats.org/spreadsheetml/2006/main" count="453" uniqueCount="345">
  <si>
    <t>ASSESSMENT WEEK · стартовая диагностика</t>
  </si>
  <si>
    <t>Цель недели: честно определить текущие знания и практическую самостоятельность до построения основной программы обучения.</t>
  </si>
  <si>
    <t>Сводка недели</t>
  </si>
  <si>
    <t>Запланировано</t>
  </si>
  <si>
    <t>Завершено</t>
  </si>
  <si>
    <t>Средний балл</t>
  </si>
  <si>
    <t>Средний ранг</t>
  </si>
  <si>
    <t>Практика</t>
  </si>
  <si>
    <t>Контрольные повторы</t>
  </si>
  <si>
    <t>Как работает Assessment Week</t>
  </si>
  <si>
    <t>1</t>
  </si>
  <si>
    <t>Экзамен</t>
  </si>
  <si>
    <t>Решаешь без ИИ и интернета; «не знаю» — нормальный и полезный ответ.</t>
  </si>
  <si>
    <t>2</t>
  </si>
  <si>
    <t>Самооценка</t>
  </si>
  <si>
    <t>Ставишь уверенность 0–3: от «не уверен» до «уверен».</t>
  </si>
  <si>
    <t>3</t>
  </si>
  <si>
    <t>Разбор</t>
  </si>
  <si>
    <t>Я строго оцениваю теорию, применение, практику и инженерное мышление.</t>
  </si>
  <si>
    <t>4</t>
  </si>
  <si>
    <t>Ранги</t>
  </si>
  <si>
    <t>Повышение только за доказанный навык, а не за просмотренный материал.</t>
  </si>
  <si>
    <t>5</t>
  </si>
  <si>
    <t>Итог недели</t>
  </si>
  <si>
    <t>Сводим сильные стороны, пробелы и приоритеты в карту компетенций.</t>
  </si>
  <si>
    <t>Динамика результатов по экзаменам</t>
  </si>
  <si>
    <t>Экзамен 1</t>
  </si>
  <si>
    <t>Экзамен 2</t>
  </si>
  <si>
    <t>Экзамен 3</t>
  </si>
  <si>
    <t>Экзамен 4</t>
  </si>
  <si>
    <t>Экзамен 5</t>
  </si>
  <si>
    <t>Экзамен 6</t>
  </si>
  <si>
    <t>Экзамен 7</t>
  </si>
  <si>
    <t>Экзамены Assessment Week</t>
  </si>
  <si>
    <t>№</t>
  </si>
  <si>
    <t>Дата</t>
  </si>
  <si>
    <t>Тема / область</t>
  </si>
  <si>
    <t>Статус</t>
  </si>
  <si>
    <t>Время, мин</t>
  </si>
  <si>
    <t>Тест, баллы</t>
  </si>
  <si>
    <t>Тест, макс</t>
  </si>
  <si>
    <t>Открытые, баллы</t>
  </si>
  <si>
    <t>Открытые, макс</t>
  </si>
  <si>
    <t>Развернутые, баллы</t>
  </si>
  <si>
    <t>Развернутые, макс</t>
  </si>
  <si>
    <t>Практика, баллы</t>
  </si>
  <si>
    <t>Практика, макс</t>
  </si>
  <si>
    <t>Инженерный кейс, баллы</t>
  </si>
  <si>
    <t>Итог, %</t>
  </si>
  <si>
    <t>Самоуверенность 0–3</t>
  </si>
  <si>
    <t>Практика, %</t>
  </si>
  <si>
    <t>Итоговый ранг 0–5</t>
  </si>
  <si>
    <t>Ключевой вывод</t>
  </si>
  <si>
    <t>Следующий шаг</t>
  </si>
  <si>
    <t>Пробел / риск</t>
  </si>
  <si>
    <t>17.08.2026</t>
  </si>
  <si>
    <t>Computer Science Fundamentals</t>
  </si>
  <si>
    <t>Завершен</t>
  </si>
  <si>
    <t>Тестовое узнавание заметно выше свободного воспроизведения: 14/20 в тесте, но открытые, развернутые и практические задания показывают слабый фундамент. Основы CS требуют системного восстановления почти с базового уровня.</t>
  </si>
  <si>
    <t>После завершения Assessment Week поставить Computer Science Fundamentals в критический приоритет: Big O → структуры данных → базовые алгоритмы → память/виртуальная память → процессы/потоки → конкурентность.</t>
  </si>
  <si>
    <t>18.08.2026</t>
  </si>
  <si>
    <t>Programming &amp; Automation</t>
  </si>
  <si>
    <t>Не начат</t>
  </si>
  <si>
    <t>Python; Bash; Git; файлы; API; SQL basics; автоматизация типовых задач</t>
  </si>
  <si>
    <t>19.08.2026</t>
  </si>
  <si>
    <t>Linux &amp; Systems</t>
  </si>
  <si>
    <t>Linux; users/permissions; processes; systemd; filesystems; logs; SSH; диагностика</t>
  </si>
  <si>
    <t>20.08.2026</t>
  </si>
  <si>
    <t>Networks &amp; Network Security</t>
  </si>
  <si>
    <t>TCP/IP; switching/routing; VLAN; DNS/DHCP; VPN; firewall; troubleshooting; secure networking</t>
  </si>
  <si>
    <t>21.08.2026</t>
  </si>
  <si>
    <t>Windows &amp; Enterprise Infrastructure</t>
  </si>
  <si>
    <t>Windows Server; AD; DNS; GPO; PowerShell; identity; enterprise administration; hardening</t>
  </si>
  <si>
    <t>22.08.2026</t>
  </si>
  <si>
    <t>Cybersecurity Engineering</t>
  </si>
  <si>
    <t>Security fundamentals; crypto/PKI; IAM; web/appsec; detection; offensive basics; compliance</t>
  </si>
  <si>
    <t>23.08.2026</t>
  </si>
  <si>
    <t>DevOps, Cloud &amp; Infrastructure Security</t>
  </si>
  <si>
    <t>Docker; Nginx; CI/CD; Kubernetes concepts; IaC; monitoring; cloud/security principles</t>
  </si>
  <si>
    <t>ИТОГ НЕДЕЛИ</t>
  </si>
  <si>
    <t>Итоговая карта формируется после разбора всех экзаменов.</t>
  </si>
  <si>
    <t>Карта компетенций · baseline</t>
  </si>
  <si>
    <t>Заполняется после каждого разбора: здесь фиксируется не ощущение «знаю/не знаю», а подтвержденная степень самостоятельности.</t>
  </si>
  <si>
    <t>Область</t>
  </si>
  <si>
    <t>Поднавык</t>
  </si>
  <si>
    <t>Источник оценки</t>
  </si>
  <si>
    <t>Самооценка до 0–5</t>
  </si>
  <si>
    <t>Диагностический балл, %</t>
  </si>
  <si>
    <t>Подтвержденный ранг 0–5</t>
  </si>
  <si>
    <t>Уверенность 0–3</t>
  </si>
  <si>
    <t>Сильная сторона?</t>
  </si>
  <si>
    <t>Ключевой пробел</t>
  </si>
  <si>
    <t>Ошибочная модель / риск</t>
  </si>
  <si>
    <t>Приоритет</t>
  </si>
  <si>
    <t>Доказательство навыка</t>
  </si>
  <si>
    <t>Дата перепроверки</t>
  </si>
  <si>
    <t>Комментарий</t>
  </si>
  <si>
    <t>Computer Science</t>
  </si>
  <si>
    <t>Алгоритмическая сложность и Big O</t>
  </si>
  <si>
    <t>Exam 01 · A1/A5/B1/D1</t>
  </si>
  <si>
    <t>Нет</t>
  </si>
  <si>
    <t>Не может объяснить Big O и пространственную сложность; узнаёт O(log n) и самостоятельно определил O(n²).</t>
  </si>
  <si>
    <t>Риск путать асимптотику с фактическим временем и не учитывать память.</t>
  </si>
  <si>
    <t>Критический</t>
  </si>
  <si>
    <t>A1 — верно с уверенностью 1/3; B1 — «не знаю»; D1 — O(n²) определено верно, остальное не выполнено.</t>
  </si>
  <si>
    <t>Есть отдельные узнаваемые элементы, но цельной модели алгоритмической сложности пока нет.</t>
  </si>
  <si>
    <t>Поиск, сортировки и базовые алгоритмические приемы</t>
  </si>
  <si>
    <t>Exam 01 · A1/A2/D2</t>
  </si>
  <si>
    <t>Не может объяснить или реализовать бинарный поиск; базовые алгоритмические шаблоны не воспроизводятся.</t>
  </si>
  <si>
    <t>Сильный разрыв между распознаванием ответа в тесте и самостоятельным воспроизведением.</t>
  </si>
  <si>
    <t>A1 и A2 — верно; D2 — «не знаю что такое бинарный поиск».</t>
  </si>
  <si>
    <t>Это один из самых показательных результатов экзамена.</t>
  </si>
  <si>
    <t>Структуры данных: array/list/stack/queue/hash/tree</t>
  </si>
  <si>
    <t>Exam 01 · A3–A8/B2–B3/C3/D3</t>
  </si>
  <si>
    <t>Забыты связный список, практическое применение hash table и tree, сложности операций; знание стека/очереди фрагментарное.</t>
  </si>
  <si>
    <t>Коллизия понимается как проблема, которую надо «избежать», а не корректно разрешить при сохранении разных ключей.</t>
  </si>
  <si>
    <t>Stack/LIFO и Queue/FIFO узнаются; коллизия определена верно; D3(a) — очередь верно; остальные сценарии почти не решены.</t>
  </si>
  <si>
    <t>Нужно строить структуры данных от операций и сценариев, а не учить определения.</t>
  </si>
  <si>
    <t>Память: stack/heap/virtual memory</t>
  </si>
  <si>
    <t>Exam 01 · A9–A11/B4–B5/C2/E4</t>
  </si>
  <si>
    <t>Нет рабочей модели stack/heap, virtual memory, pages, page fault, swap/pagefile и locality.</t>
  </si>
  <si>
    <t>Виртуальное адресное пространство частично связывается с «ускорением», что не является его основной функцией.</t>
  </si>
  <si>
    <t>A9/A10 распознаны верно при 0/3 уверенности; B5 содержит правильную мысль об изоляции; C2 и E4 не выполнены.</t>
  </si>
  <si>
    <t>Изоляция адресных пространств угадывается правильно, механизм виртуальной памяти отсутствует.</t>
  </si>
  <si>
    <t>Процессы, потоки, scheduling, synchronization</t>
  </si>
  <si>
    <t>Exam 01 · A12–A16/B6/B8/C1/C4/D4</t>
  </si>
  <si>
    <t>Не воспроизводятся lifecycle процесса, scheduling, ожидание I/O, synchronization; race/deadlock понимаются крайне поверхностно.</t>
  </si>
  <si>
    <t>Race condition трактуется как абстрактный «конфликт доступа», без модели read-modify-write/lost update.</t>
  </si>
  <si>
    <t>Тестовые определения process/thread, context switch, race, mutex распознаны; открытые ответы и D4 показывают отсутствие механизма.</t>
  </si>
  <si>
    <t>Приоритет — процессы/потоки и конкурентность с практическими моделями.</t>
  </si>
  <si>
    <t>CPU, cache, interrupts, I/O, architecture basics</t>
  </si>
  <si>
    <t>Exam 01 · A17–A20/B7/B9–B10/E1–E3</t>
  </si>
  <si>
    <t>Не объясняет interrupts, temporal/spatial locality, CPU-bound vs I/O-bound и причины однопоточного bottleneck.</t>
  </si>
  <si>
    <t>Средняя загрузка CPU может ошибочно восприниматься как показатель отсутствия CPU bottleneck.</t>
  </si>
  <si>
    <t>Высокий</t>
  </si>
  <si>
    <t>System call/user-kernel boundary и cache распознаны; B7 частично верен; инженерный кейс почти не разобран.</t>
  </si>
  <si>
    <t>Нужна связка CPU/cache/I/O/interrupts с реальной диагностикой производительности.</t>
  </si>
  <si>
    <t>Programming</t>
  </si>
  <si>
    <t>Python syntax, data types, functions</t>
  </si>
  <si>
    <t>Python: files, exceptions, modules, OOP basics</t>
  </si>
  <si>
    <t>Bash / shell automation</t>
  </si>
  <si>
    <t>Git workflow and version control</t>
  </si>
  <si>
    <t>SQL basics and data querying</t>
  </si>
  <si>
    <t>Users, groups, permissions, sudo</t>
  </si>
  <si>
    <t>Processes, systemd, services</t>
  </si>
  <si>
    <t>Filesystems, disks, mounts, logs</t>
  </si>
  <si>
    <t>SSH, networking, troubleshooting</t>
  </si>
  <si>
    <t>Networks</t>
  </si>
  <si>
    <t>TCP/IP and OSI reasoning</t>
  </si>
  <si>
    <t>Switching, VLAN, STP, LAG</t>
  </si>
  <si>
    <t>Routing, subnetting, NAT</t>
  </si>
  <si>
    <t>DNS, DHCP, VPN, firewalls</t>
  </si>
  <si>
    <t>Windows</t>
  </si>
  <si>
    <t>Windows Server administration</t>
  </si>
  <si>
    <t>Active Directory / LDAP / Kerberos basics</t>
  </si>
  <si>
    <t>GPO, DNS, PowerShell</t>
  </si>
  <si>
    <t>Security</t>
  </si>
  <si>
    <t>Security principles, threat/risk models</t>
  </si>
  <si>
    <t>Cryptography, PKI, TLS</t>
  </si>
  <si>
    <t>IAM, access control, authentication</t>
  </si>
  <si>
    <t>Web/AppSec and OWASP</t>
  </si>
  <si>
    <t>Detection, logs, SIEM, incident reasoning</t>
  </si>
  <si>
    <t>Offensive / CTF fundamentals</t>
  </si>
  <si>
    <t>Compliance: ПДн, КИИ, регуляторная база и процессы</t>
  </si>
  <si>
    <t>DevOps &amp; Cloud</t>
  </si>
  <si>
    <t>Docker, CI/CD, Kubernetes, IaC, monitoring, cloud security</t>
  </si>
  <si>
    <t>Повторение и контрольные проверки</t>
  </si>
  <si>
    <t>Сюда попадают навыки, которые нужно перепроверять после первичного изучения: повторение — обязательная часть системы, а не «исправление забывчивости».</t>
  </si>
  <si>
    <t>Навык / тема</t>
  </si>
  <si>
    <t>Дата первичной проверки</t>
  </si>
  <si>
    <t>Дата повтора</t>
  </si>
  <si>
    <t>Формат проверки</t>
  </si>
  <si>
    <t>Результат, %</t>
  </si>
  <si>
    <t>Ранг до</t>
  </si>
  <si>
    <t>Ранг после</t>
  </si>
  <si>
    <t>Что забылось / сломалось</t>
  </si>
  <si>
    <t>Следующее действие</t>
  </si>
  <si>
    <t>Big O и анализ сложности</t>
  </si>
  <si>
    <t>Проверить объяснение Big O + time/space complexity на новых задачах.</t>
  </si>
  <si>
    <t>Вернуться после базового цикла CS.</t>
  </si>
  <si>
    <t>Бинарный поиск и базовые алгоритмы</t>
  </si>
  <si>
    <t>Реализовать без подсказок и объяснить инвариант/сложность.</t>
  </si>
  <si>
    <t>Проверить на новом массиве и граничных случаях.</t>
  </si>
  <si>
    <t>Структуры данных</t>
  </si>
  <si>
    <t>Инженерный кейс</t>
  </si>
  <si>
    <t>Выбирать структуру по операциям и ограничениям; объяснять сложности.</t>
  </si>
  <si>
    <t>Смешанный кейс array/list/hash/tree/stack/queue.</t>
  </si>
  <si>
    <t>Память и виртуальная память</t>
  </si>
  <si>
    <t>Короткий тест</t>
  </si>
  <si>
    <t>Stack/heap/pages/page fault/swap/locality.</t>
  </si>
  <si>
    <t>Связать с диагностикой RAM/swap/latency.</t>
  </si>
  <si>
    <t>Процессы, потоки и конкурентность</t>
  </si>
  <si>
    <t>Lifecycle, scheduling, context switch, race, mutex, deadlock.</t>
  </si>
  <si>
    <t>Обязательная практическая задача с lost update.</t>
  </si>
  <si>
    <t>CPU/cache/I-O/system calls</t>
  </si>
  <si>
    <t>Cache locality, interrupts, CPU-bound/I-O-bound.</t>
  </si>
  <si>
    <t>Разбор производительности сервиса.</t>
  </si>
  <si>
    <t>Правила диагностики и шкалы</t>
  </si>
  <si>
    <t>Ранги 0–5: степень самостоятельности</t>
  </si>
  <si>
    <t>Уверенность ответа 0–3</t>
  </si>
  <si>
    <t>Ранг</t>
  </si>
  <si>
    <t>Название</t>
  </si>
  <si>
    <t>Что означает</t>
  </si>
  <si>
    <t>Как подтверждается</t>
  </si>
  <si>
    <t>Уровень</t>
  </si>
  <si>
    <t>Интерпретация</t>
  </si>
  <si>
    <t>Не знаком</t>
  </si>
  <si>
    <t>Тема практически неизвестна.</t>
  </si>
  <si>
    <t>Нет практического подтверждения.</t>
  </si>
  <si>
    <t>Не уверен</t>
  </si>
  <si>
    <t>Практически не знаю / случайная догадка.</t>
  </si>
  <si>
    <t>Знаю основы</t>
  </si>
  <si>
    <t>Понимаю базовые термины и принципы.</t>
  </si>
  <si>
    <t>Могу объяснить основу своими словами.</t>
  </si>
  <si>
    <t>Скорее предполагаю</t>
  </si>
  <si>
    <t>Есть направление мысли, но знание неустойчивое.</t>
  </si>
  <si>
    <t>Делаю с опорой</t>
  </si>
  <si>
    <t>Типовые задачи решаю с документацией / подсказками.</t>
  </si>
  <si>
    <t>Практика есть, но самостоятельность нестабильна.</t>
  </si>
  <si>
    <t>Почти уверен</t>
  </si>
  <si>
    <t>Ответ кажется правильным, остаются сомнения.</t>
  </si>
  <si>
    <t>Самостоятельный</t>
  </si>
  <si>
    <t>Типовую задачу решаю сам и понимаю действия.</t>
  </si>
  <si>
    <t>Навык подтвержден самостоятельной работой.</t>
  </si>
  <si>
    <t>Уверен</t>
  </si>
  <si>
    <t>Считаю ответ надежным и могу его защищать.</t>
  </si>
  <si>
    <t>Инженерный</t>
  </si>
  <si>
    <t>Диагностирую нетипичные проблемы, выбираю решения и trade-offs.</t>
  </si>
  <si>
    <t>Справляюсь с поломками и неопределенностью.</t>
  </si>
  <si>
    <t>Глубокое владение</t>
  </si>
  <si>
    <t>Проектирую, оптимизирую, объясняю внутреннее устройство и могу обучать.</t>
  </si>
  <si>
    <t>Уровень устойчив в сложных сценариях.</t>
  </si>
  <si>
    <t>Принципы Assessment Week</t>
  </si>
  <si>
    <t>Без ИИ и интернета</t>
  </si>
  <si>
    <t>Диагностика должна измерять собственные знания. Документация разрешается только в заданиях, где это явно указано.</t>
  </si>
  <si>
    <t>«Не знаю» лучше воды</t>
  </si>
  <si>
    <t>Незнание — полезный диагностический сигнал. Угадывание и маскировка пробела мешают построить правильный план.</t>
  </si>
  <si>
    <t>Строгая оценка</t>
  </si>
  <si>
    <t>Баллы выдаются за корректность, понимание механизма, применение и самостоятельность.</t>
  </si>
  <si>
    <t>Навык ≠ просмотренный курс</t>
  </si>
  <si>
    <t>Ранг растет только после практического доказательства.</t>
  </si>
  <si>
    <t>Ошибка + уверенность 3 — красный флаг</t>
  </si>
  <si>
    <t>Это признак неверной модели в голове; такие ошибки разбираются в первую очередь.</t>
  </si>
  <si>
    <t>6</t>
  </si>
  <si>
    <t>Повторение обязательно</t>
  </si>
  <si>
    <t>После первичного освоения навыки перепроверяются через 4–6 недель и в комплексных контрольных.</t>
  </si>
  <si>
    <t>Рекомендуемая структура каждого диагностического экзамена</t>
  </si>
  <si>
    <t>Блок</t>
  </si>
  <si>
    <t>Формат</t>
  </si>
  <si>
    <t>Объем</t>
  </si>
  <si>
    <t>Что проверяет</t>
  </si>
  <si>
    <t>A</t>
  </si>
  <si>
    <t>Быстрый тест</t>
  </si>
  <si>
    <t>15–25 вопросов</t>
  </si>
  <si>
    <t>Широкий охват базы</t>
  </si>
  <si>
    <t>B</t>
  </si>
  <si>
    <t>Короткие открытые</t>
  </si>
  <si>
    <t>8–12 вопросов</t>
  </si>
  <si>
    <t>Понимание своими словами</t>
  </si>
  <si>
    <t>C</t>
  </si>
  <si>
    <t>Развернутые</t>
  </si>
  <si>
    <t>3–5 вопросов</t>
  </si>
  <si>
    <t>Механизмы и причинно-следственные связи</t>
  </si>
  <si>
    <t>D</t>
  </si>
  <si>
    <t>Задачи</t>
  </si>
  <si>
    <t>2–5 задач</t>
  </si>
  <si>
    <t>Применение знаний</t>
  </si>
  <si>
    <t>E</t>
  </si>
  <si>
    <t>по теме</t>
  </si>
  <si>
    <t>Код / команды / конфигурация / диагностика</t>
  </si>
  <si>
    <t>F</t>
  </si>
  <si>
    <t>1 кейс · 20 баллов</t>
  </si>
  <si>
    <t>Работа с неопределенностью и выбор решения</t>
  </si>
  <si>
    <t>ASSESSMENT WEEK · план диагностики</t>
  </si>
  <si>
    <t>День</t>
  </si>
  <si>
    <t>Что проверяем</t>
  </si>
  <si>
    <t>Время</t>
  </si>
  <si>
    <t>Макс. балл</t>
  </si>
  <si>
    <t>Результат</t>
  </si>
  <si>
    <t>Алгоритмы; структуры данных; устройство компьютера; память; процессы/потоки; основы ОС</t>
  </si>
  <si>
    <t>ЭКЗАМЕН №1 · РАЗБОР И ДИАГНОСТИКА</t>
  </si>
  <si>
    <t>Computer Science Fundamentals · 17.08.2026 · строгая оценка baseline</t>
  </si>
  <si>
    <t>Макс.</t>
  </si>
  <si>
    <t>Балл</t>
  </si>
  <si>
    <t>%</t>
  </si>
  <si>
    <t>Оценка</t>
  </si>
  <si>
    <t>Что получилось</t>
  </si>
  <si>
    <t>Главный пробел</t>
  </si>
  <si>
    <t>Диагностический вывод</t>
  </si>
  <si>
    <t>A · Тест</t>
  </si>
  <si>
    <t>Лучший блок</t>
  </si>
  <si>
    <t>Правильно распознаны бинарный поиск, LIFO/FIFO, collision, process/thread, context switch, race, mutex, system call, cache, modes.</t>
  </si>
  <si>
    <t>Уверенность низкая; часть правильных ответов получена через логику/узнавание.</t>
  </si>
  <si>
    <t>Термины знакомы, но это пока не означает владение материалом.</t>
  </si>
  <si>
    <t>B · Короткие</t>
  </si>
  <si>
    <t>Очень слабо</t>
  </si>
  <si>
    <t>Частично: изоляция адресных пространств и user→kernel при чтении файла.</t>
  </si>
  <si>
    <t>Нет свободного объяснения Big O, структур данных, recursion, concurrency, locality, CPU/I-O bound.</t>
  </si>
  <si>
    <t>При закрытых вариантах знание выглядит существенно лучше, чем при свободном ответе.</t>
  </si>
  <si>
    <t>C · Развернутые</t>
  </si>
  <si>
    <t>Фрагменты: создание процесса, адресное пространство, LIFO/FIFO, идея конфликта общего ресурса.</t>
  </si>
  <si>
    <t>Нет цельных механизмов ОС, виртуальной памяти, структур данных и синхронизации.</t>
  </si>
  <si>
    <t>Фундаментальные модели пока не собраны в систему.</t>
  </si>
  <si>
    <t>D · Практика</t>
  </si>
  <si>
    <t>Слабо</t>
  </si>
  <si>
    <t>Самостоятельно найдено O(n²); очередь выбрана для FIFO; уловлена проблема производительности общей блокировки.</t>
  </si>
  <si>
    <t>Не реализуется бинарный поиск; почти нет выбора структур данных; lost update не объяснен.</t>
  </si>
  <si>
    <t>Практическое применение отстает сильнее теоретического узнавания.</t>
  </si>
  <si>
    <t>E · Инженерный кейс</t>
  </si>
  <si>
    <t>Практически отсутствует</t>
  </si>
  <si>
    <t>Замечено, что одно ядро на 100% — потенциальная проблема.</t>
  </si>
  <si>
    <t>Не строятся гипотезы по списку, RAM/swap, потокам, локальности и сложности поиска.</t>
  </si>
  <si>
    <t>Пока недостаточно базы, чтобы связать CS-концепции с диагностикой реальной системы.</t>
  </si>
  <si>
    <t>Итог</t>
  </si>
  <si>
    <t>Итоговый балл</t>
  </si>
  <si>
    <t>Главный вывод: ты не «в нуле» в буквальном смысле — знакомство с терминологией сохранилось, что видно по 14/20 в тесте. Но уровень самостоятельного воспроизведения и применения действительно близок к начальному. Поэтому Computer Science Fundamentals нужно не «освежить за вечер», а системно пересобрать с базы и закрепить практикой.</t>
  </si>
  <si>
    <t>Подтвержденный общий ранг</t>
  </si>
  <si>
    <t>Фактическое время</t>
  </si>
  <si>
    <t>≈32 мин из 150</t>
  </si>
  <si>
    <t>Ключевые диагностические сигналы</t>
  </si>
  <si>
    <t>Узнавание ≠ воспроизведение</t>
  </si>
  <si>
    <t>A1/A2 правильны, но D2: «не знаю что такое бинарный поиск». Это самый чистый пример разрыва между тестовым узнаванием и рабочим знанием.</t>
  </si>
  <si>
    <t>Честность дала полезные данные</t>
  </si>
  <si>
    <t>Большое число ответов «не знаю» делает baseline качественным: нам не придется лечить выдуманные сильные стороны.</t>
  </si>
  <si>
    <t>Сохранились отдельные опорные точки</t>
  </si>
  <si>
    <t>LIFO/FIFO, collision, system call, user/kernel, cache и O(n²) не исчезли полностью. На них можно быстро наращивать новую систему.</t>
  </si>
  <si>
    <t>Главная проблема — отсутствие связной модели</t>
  </si>
  <si>
    <t>Термины иногда знакомы по отдельности, но они не объединяются в процесс выполнения программы, модель памяти или алгоритмический выбор.</t>
  </si>
  <si>
    <t>Инженерное мышление ограничено нехваткой фундамента</t>
  </si>
  <si>
    <t>Кейс почти не решается, потому что пока нет инструментов: complexity, locality, swap, concurrency и profiling.</t>
  </si>
  <si>
    <t>Приоритет восстановления после Assessment Week</t>
  </si>
  <si>
    <t>Тема</t>
  </si>
  <si>
    <t>Зачем</t>
  </si>
  <si>
    <t>Big O + time/space complexity</t>
  </si>
  <si>
    <t>Нужно для алгоритмов, структур данных и оценки решений.</t>
  </si>
  <si>
    <t>Array/list/stack/queue/hash/tree через операции, сложности и выбор под задачу.</t>
  </si>
  <si>
    <t>Базовые алгоритмы</t>
  </si>
  <si>
    <t>Linear/binary search, основные сортировки и базовые алгоритмические шаблоны.</t>
  </si>
  <si>
    <t>Stack/heap/pages/page fault/swap/locality и связь с производительностью.</t>
  </si>
  <si>
    <t>Процессы и потоки</t>
  </si>
  <si>
    <t>Lifecycle, scheduling, context switch, I/O states.</t>
  </si>
  <si>
    <t>Concurrency</t>
  </si>
  <si>
    <t>Race, critical section, mutex, atomics, deadlock.</t>
  </si>
  <si>
    <t>CPU/cache/I-O</t>
  </si>
  <si>
    <t>Locality, interrupts, CPU-bound/I-O-bound и поиск bottleneck.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</si>
</sst>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.mm\.yyyy"/>
  </numFmts>
  <fonts count="17">
    <font>
      <sz val="11"/>
      <name val="Carlito"/>
    </font>
    <font>
      <b/>
      <sz val="18"/>
      <color rgb="FFFFFFFF"/>
      <name val="Carlito"/>
    </font>
    <font>
      <i/>
      <sz val="10"/>
      <color rgb="FF1D2733"/>
      <name val="Carlito"/>
    </font>
    <font>
      <b/>
      <sz val="11"/>
      <color rgb="FFFFFFFF"/>
      <name val="Carlito"/>
    </font>
    <font>
      <sz val="11"/>
      <color rgb="FF1D2733"/>
      <name val="Carlito"/>
    </font>
    <font>
      <b/>
      <sz val="11"/>
      <color rgb="FF1D2733"/>
      <name val="Carlito"/>
    </font>
    <font>
      <b/>
      <sz val="20"/>
      <color rgb="FF16283F"/>
      <name val="Carlito"/>
    </font>
    <font>
      <b/>
      <sz val="11"/>
      <color rgb="FF2E7D78"/>
      <name val="Carlito"/>
    </font>
    <font>
      <sz val="9"/>
      <color rgb="FF1D2733"/>
      <name val="Carlito"/>
    </font>
    <font>
      <sz val="10"/>
      <color rgb="FF1D2733"/>
      <name val="Carlito"/>
    </font>
    <font>
      <b/>
      <sz val="11"/>
      <color rgb="FF16283F"/>
      <name val="Carlito"/>
    </font>
    <font>
      <i/>
      <sz val="11"/>
      <color rgb="FF1D2733"/>
      <name val="Carlito"/>
    </font>
    <font>
      <b/>
      <sz val="11"/>
      <color rgb="FF22563A"/>
      <name val="Carlito"/>
    </font>
    <font>
      <b/>
      <sz val="15"/>
      <color rgb="FF16283F"/>
      <name val="Carlito"/>
    </font>
    <font>
      <b/>
      <sz val="11"/>
      <color rgb="FF8A2D2D"/>
      <name val="Carlito"/>
    </font>
    <font>
      <b/>
      <sz val="11"/>
      <color rgb="FF765800"/>
      <name val="Carlito"/>
    </font>
    <font>
      <sz val="11"/>
      <name val="Carlito"/>
    </font>
  </fonts>
  <fills count="22">
    <fill>
      <patternFill patternType="none"/>
    </fill>
    <fill>
      <patternFill patternType="gray125"/>
    </fill>
    <fill>
      <patternFill patternType="solid">
        <fgColor rgb="FF16283F"/>
      </patternFill>
    </fill>
    <fill>
      <patternFill patternType="solid">
        <fgColor rgb="FFEAF1F8"/>
      </patternFill>
    </fill>
    <fill>
      <patternFill patternType="solid">
        <fgColor rgb="FF245B8A"/>
      </patternFill>
    </fill>
    <fill>
      <patternFill patternType="solid">
        <fgColor rgb="FFFFFFFF"/>
      </patternFill>
    </fill>
    <fill>
      <patternFill patternType="solid">
        <fgColor rgb="FFE8F4F2"/>
      </patternFill>
    </fill>
    <fill>
      <patternFill patternType="solid">
        <fgColor rgb="FF2E7D78"/>
      </patternFill>
    </fill>
    <fill>
      <patternFill patternType="solid">
        <fgColor rgb="FF2E7D78"/>
      </patternFill>
    </fill>
    <fill>
      <patternFill patternType="solid">
        <fgColor rgb="FF16283F"/>
      </patternFill>
    </fill>
    <fill>
      <patternFill patternType="solid">
        <fgColor rgb="FFDDF3E7"/>
      </patternFill>
    </fill>
    <fill>
      <patternFill patternType="solid">
        <fgColor rgb="FF16283F"/>
      </patternFill>
    </fill>
    <fill>
      <patternFill patternType="solid">
        <fgColor rgb="FFEAF1F8"/>
      </patternFill>
    </fill>
    <fill>
      <patternFill patternType="solid">
        <fgColor rgb="FF2E7D78"/>
      </patternFill>
    </fill>
    <fill>
      <patternFill patternType="solid">
        <fgColor rgb="FF245B8A"/>
      </patternFill>
    </fill>
    <fill>
      <patternFill patternType="solid">
        <fgColor rgb="FFE8F4F2"/>
      </patternFill>
    </fill>
    <fill>
      <patternFill patternType="solid">
        <fgColor rgb="FFFCE1E1"/>
      </patternFill>
    </fill>
    <fill>
      <patternFill patternType="solid">
        <fgColor rgb="FFFFF1C9"/>
      </patternFill>
    </fill>
    <fill>
      <patternFill patternType="solid">
        <fgColor rgb="FFE8F4F2"/>
      </patternFill>
    </fill>
    <fill>
      <patternFill patternType="solid">
        <fgColor rgb="FF2E7D78"/>
      </patternFill>
    </fill>
    <fill>
      <patternFill patternType="solid">
        <fgColor rgb="FFFCE1E1"/>
      </patternFill>
    </fill>
    <fill>
      <patternFill patternType="solid">
        <fgColor rgb="FFFFF1C9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6" fillId="0" borderId="0"/>
  </cellStyleXfs>
  <cellXfs count="123">
    <xf numFmtId="0" fontId="0" fillId="0" borderId="0" xfId="0"/>
    <xf numFmtId="0" fontId="1" fillId="2" borderId="0" xfId="1" applyFont="1" applyFill="1" applyAlignment="1">
      <alignment horizontal="left" vertical="center"/>
    </xf>
    <xf numFmtId="0" fontId="4" fillId="5" borderId="5" xfId="1" applyFont="1" applyFill="1" applyBorder="1" applyAlignment="1">
      <alignment horizontal="center" vertical="center"/>
    </xf>
    <xf numFmtId="0" fontId="4" fillId="5" borderId="6" xfId="1" applyFont="1" applyFill="1" applyBorder="1" applyAlignment="1">
      <alignment horizontal="center" vertical="center"/>
    </xf>
    <xf numFmtId="0" fontId="7" fillId="6" borderId="9" xfId="1" applyFont="1" applyFill="1" applyBorder="1" applyAlignment="1">
      <alignment horizontal="center"/>
    </xf>
    <xf numFmtId="0" fontId="7" fillId="6" borderId="10" xfId="1" applyFont="1" applyFill="1" applyBorder="1" applyAlignment="1">
      <alignment horizontal="center"/>
    </xf>
    <xf numFmtId="0" fontId="7" fillId="6" borderId="11" xfId="1" applyFont="1" applyFill="1" applyBorder="1" applyAlignment="1">
      <alignment horizontal="center"/>
    </xf>
    <xf numFmtId="0" fontId="5" fillId="0" borderId="9" xfId="1" applyFont="1" applyBorder="1"/>
    <xf numFmtId="0" fontId="5" fillId="0" borderId="10" xfId="1" applyFont="1" applyBorder="1"/>
    <xf numFmtId="0" fontId="5" fillId="0" borderId="11" xfId="1" applyFont="1" applyBorder="1"/>
    <xf numFmtId="0" fontId="8" fillId="0" borderId="0" xfId="1" applyFont="1"/>
    <xf numFmtId="164" fontId="8" fillId="0" borderId="0" xfId="1" applyNumberFormat="1" applyFont="1"/>
    <xf numFmtId="0" fontId="3" fillId="7" borderId="0" xfId="1" applyFont="1" applyFill="1" applyAlignment="1">
      <alignment horizontal="center" vertical="center" wrapText="1"/>
    </xf>
    <xf numFmtId="0" fontId="9" fillId="0" borderId="1" xfId="1" applyFont="1" applyBorder="1" applyAlignment="1">
      <alignment vertical="center"/>
    </xf>
    <xf numFmtId="0" fontId="9" fillId="0" borderId="12" xfId="1" applyFont="1" applyBorder="1" applyAlignment="1">
      <alignment vertical="center"/>
    </xf>
    <xf numFmtId="0" fontId="9" fillId="0" borderId="3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9" fillId="0" borderId="5" xfId="1" applyFont="1" applyBorder="1" applyAlignment="1">
      <alignment vertical="center"/>
    </xf>
    <xf numFmtId="0" fontId="9" fillId="0" borderId="13" xfId="1" applyFont="1" applyBorder="1" applyAlignment="1">
      <alignment vertical="center"/>
    </xf>
    <xf numFmtId="165" fontId="9" fillId="0" borderId="12" xfId="1" applyNumberFormat="1" applyFont="1" applyBorder="1" applyAlignment="1">
      <alignment vertical="center"/>
    </xf>
    <xf numFmtId="165" fontId="9" fillId="0" borderId="0" xfId="1" applyNumberFormat="1" applyFont="1" applyAlignment="1">
      <alignment vertical="center"/>
    </xf>
    <xf numFmtId="165" fontId="9" fillId="0" borderId="13" xfId="1" applyNumberFormat="1" applyFont="1" applyBorder="1" applyAlignment="1">
      <alignment vertical="center"/>
    </xf>
    <xf numFmtId="0" fontId="9" fillId="0" borderId="12" xfId="1" applyFont="1" applyBorder="1" applyAlignment="1">
      <alignment vertical="center" wrapText="1"/>
    </xf>
    <xf numFmtId="0" fontId="9" fillId="0" borderId="0" xfId="1" applyFont="1" applyAlignment="1">
      <alignment vertical="center" wrapText="1"/>
    </xf>
    <xf numFmtId="0" fontId="9" fillId="0" borderId="13" xfId="1" applyFont="1" applyBorder="1" applyAlignment="1">
      <alignment vertical="center" wrapText="1"/>
    </xf>
    <xf numFmtId="0" fontId="9" fillId="0" borderId="2" xfId="1" applyFont="1" applyBorder="1" applyAlignment="1">
      <alignment vertical="center" wrapText="1"/>
    </xf>
    <xf numFmtId="0" fontId="9" fillId="0" borderId="4" xfId="1" applyFont="1" applyBorder="1" applyAlignment="1">
      <alignment vertical="center" wrapText="1"/>
    </xf>
    <xf numFmtId="0" fontId="9" fillId="0" borderId="6" xfId="1" applyFont="1" applyBorder="1" applyAlignment="1">
      <alignment vertical="center" wrapText="1"/>
    </xf>
    <xf numFmtId="164" fontId="9" fillId="0" borderId="12" xfId="1" applyNumberFormat="1" applyFont="1" applyBorder="1" applyAlignment="1">
      <alignment vertical="center"/>
    </xf>
    <xf numFmtId="164" fontId="9" fillId="0" borderId="0" xfId="1" applyNumberFormat="1" applyFont="1" applyAlignment="1">
      <alignment vertical="center"/>
    </xf>
    <xf numFmtId="164" fontId="9" fillId="0" borderId="13" xfId="1" applyNumberFormat="1" applyFont="1" applyBorder="1" applyAlignment="1">
      <alignment vertical="center"/>
    </xf>
    <xf numFmtId="164" fontId="10" fillId="3" borderId="7" xfId="1" applyNumberFormat="1" applyFont="1" applyFill="1" applyBorder="1" applyAlignment="1">
      <alignment wrapText="1"/>
    </xf>
    <xf numFmtId="2" fontId="10" fillId="3" borderId="14" xfId="1" applyNumberFormat="1" applyFont="1" applyFill="1" applyBorder="1" applyAlignment="1">
      <alignment wrapText="1"/>
    </xf>
    <xf numFmtId="0" fontId="9" fillId="0" borderId="1" xfId="1" applyFont="1" applyBorder="1" applyAlignment="1">
      <alignment wrapText="1"/>
    </xf>
    <xf numFmtId="0" fontId="9" fillId="0" borderId="12" xfId="1" applyFont="1" applyBorder="1" applyAlignment="1">
      <alignment wrapText="1"/>
    </xf>
    <xf numFmtId="0" fontId="9" fillId="0" borderId="2" xfId="1" applyFont="1" applyBorder="1" applyAlignment="1">
      <alignment wrapText="1"/>
    </xf>
    <xf numFmtId="0" fontId="9" fillId="0" borderId="3" xfId="1" applyFont="1" applyBorder="1" applyAlignment="1">
      <alignment wrapText="1"/>
    </xf>
    <xf numFmtId="0" fontId="9" fillId="0" borderId="0" xfId="1" applyFont="1" applyAlignment="1">
      <alignment wrapText="1"/>
    </xf>
    <xf numFmtId="0" fontId="9" fillId="0" borderId="4" xfId="1" applyFont="1" applyBorder="1" applyAlignment="1">
      <alignment wrapText="1"/>
    </xf>
    <xf numFmtId="0" fontId="9" fillId="0" borderId="5" xfId="1" applyFont="1" applyBorder="1" applyAlignment="1">
      <alignment wrapText="1"/>
    </xf>
    <xf numFmtId="0" fontId="9" fillId="0" borderId="13" xfId="1" applyFont="1" applyBorder="1" applyAlignment="1">
      <alignment wrapText="1"/>
    </xf>
    <xf numFmtId="0" fontId="9" fillId="0" borderId="6" xfId="1" applyFont="1" applyBorder="1" applyAlignment="1">
      <alignment wrapText="1"/>
    </xf>
    <xf numFmtId="0" fontId="9" fillId="0" borderId="1" xfId="1" applyFont="1" applyBorder="1" applyAlignment="1">
      <alignment vertical="center" wrapText="1"/>
    </xf>
    <xf numFmtId="0" fontId="9" fillId="0" borderId="3" xfId="1" applyFont="1" applyBorder="1" applyAlignment="1">
      <alignment vertical="center" wrapText="1"/>
    </xf>
    <xf numFmtId="0" fontId="9" fillId="0" borderId="5" xfId="1" applyFont="1" applyBorder="1" applyAlignment="1">
      <alignment vertical="center" wrapText="1"/>
    </xf>
    <xf numFmtId="165" fontId="9" fillId="0" borderId="0" xfId="1" applyNumberFormat="1" applyFont="1" applyAlignment="1">
      <alignment vertical="center" wrapText="1"/>
    </xf>
    <xf numFmtId="165" fontId="9" fillId="0" borderId="13" xfId="1" applyNumberFormat="1" applyFont="1" applyBorder="1" applyAlignment="1">
      <alignment vertical="center" wrapText="1"/>
    </xf>
    <xf numFmtId="0" fontId="4" fillId="0" borderId="9" xfId="1" applyFont="1" applyBorder="1" applyAlignment="1">
      <alignment wrapText="1"/>
    </xf>
    <xf numFmtId="0" fontId="4" fillId="0" borderId="10" xfId="1" applyFont="1" applyBorder="1" applyAlignment="1">
      <alignment wrapText="1"/>
    </xf>
    <xf numFmtId="0" fontId="4" fillId="0" borderId="11" xfId="1" applyFont="1" applyBorder="1" applyAlignment="1">
      <alignment wrapText="1"/>
    </xf>
    <xf numFmtId="164" fontId="9" fillId="0" borderId="4" xfId="1" applyNumberFormat="1" applyFont="1" applyBorder="1" applyAlignment="1">
      <alignment vertical="center" wrapText="1"/>
    </xf>
    <xf numFmtId="164" fontId="9" fillId="0" borderId="6" xfId="1" applyNumberFormat="1" applyFont="1" applyBorder="1" applyAlignment="1">
      <alignment vertical="center" wrapText="1"/>
    </xf>
    <xf numFmtId="164" fontId="3" fillId="4" borderId="7" xfId="1" applyNumberFormat="1" applyFont="1" applyFill="1" applyBorder="1" applyAlignment="1">
      <alignment horizontal="left" vertical="center" wrapText="1"/>
    </xf>
    <xf numFmtId="164" fontId="3" fillId="4" borderId="14" xfId="1" applyNumberFormat="1" applyFont="1" applyFill="1" applyBorder="1" applyAlignment="1">
      <alignment horizontal="left" vertical="center" wrapText="1"/>
    </xf>
    <xf numFmtId="164" fontId="9" fillId="0" borderId="0" xfId="1" applyNumberFormat="1" applyFont="1" applyAlignment="1">
      <alignment vertical="center" wrapText="1"/>
    </xf>
    <xf numFmtId="0" fontId="3" fillId="8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64" fontId="0" fillId="0" borderId="0" xfId="1" applyNumberFormat="1" applyFont="1" applyAlignment="1">
      <alignment wrapText="1"/>
    </xf>
    <xf numFmtId="0" fontId="12" fillId="10" borderId="15" xfId="1" applyFont="1" applyFill="1" applyBorder="1" applyAlignment="1">
      <alignment horizontal="center" vertical="center" wrapText="1"/>
    </xf>
    <xf numFmtId="0" fontId="3" fillId="13" borderId="0" xfId="1" applyFont="1" applyFill="1" applyAlignment="1">
      <alignment horizontal="center" vertical="center" wrapText="1"/>
    </xf>
    <xf numFmtId="0" fontId="9" fillId="0" borderId="16" xfId="1" applyFont="1" applyBorder="1" applyAlignment="1">
      <alignment vertical="top" wrapText="1"/>
    </xf>
    <xf numFmtId="0" fontId="9" fillId="0" borderId="17" xfId="1" applyFont="1" applyBorder="1" applyAlignment="1">
      <alignment vertical="top" wrapText="1"/>
    </xf>
    <xf numFmtId="0" fontId="9" fillId="0" borderId="18" xfId="1" applyFont="1" applyBorder="1" applyAlignment="1">
      <alignment vertical="top" wrapText="1"/>
    </xf>
    <xf numFmtId="0" fontId="9" fillId="0" borderId="19" xfId="1" applyFont="1" applyBorder="1" applyAlignment="1">
      <alignment vertical="top" wrapText="1"/>
    </xf>
    <xf numFmtId="0" fontId="9" fillId="0" borderId="0" xfId="1" applyFont="1" applyAlignment="1">
      <alignment vertical="top" wrapText="1"/>
    </xf>
    <xf numFmtId="0" fontId="9" fillId="0" borderId="20" xfId="1" applyFont="1" applyBorder="1" applyAlignment="1">
      <alignment vertical="top" wrapText="1"/>
    </xf>
    <xf numFmtId="0" fontId="9" fillId="0" borderId="21" xfId="1" applyFont="1" applyBorder="1" applyAlignment="1">
      <alignment vertical="top" wrapText="1"/>
    </xf>
    <xf numFmtId="0" fontId="9" fillId="0" borderId="22" xfId="1" applyFont="1" applyBorder="1" applyAlignment="1">
      <alignment vertical="top" wrapText="1"/>
    </xf>
    <xf numFmtId="0" fontId="9" fillId="0" borderId="23" xfId="1" applyFont="1" applyBorder="1" applyAlignment="1">
      <alignment vertical="top" wrapText="1"/>
    </xf>
    <xf numFmtId="164" fontId="9" fillId="0" borderId="17" xfId="1" applyNumberFormat="1" applyFont="1" applyBorder="1" applyAlignment="1">
      <alignment vertical="top" wrapText="1"/>
    </xf>
    <xf numFmtId="164" fontId="9" fillId="0" borderId="0" xfId="1" applyNumberFormat="1" applyFont="1" applyAlignment="1">
      <alignment vertical="top" wrapText="1"/>
    </xf>
    <xf numFmtId="164" fontId="9" fillId="0" borderId="22" xfId="1" applyNumberFormat="1" applyFont="1" applyBorder="1" applyAlignment="1">
      <alignment vertical="top" wrapText="1"/>
    </xf>
    <xf numFmtId="0" fontId="10" fillId="12" borderId="24" xfId="1" applyFont="1" applyFill="1" applyBorder="1"/>
    <xf numFmtId="0" fontId="10" fillId="12" borderId="25" xfId="1" applyFont="1" applyFill="1" applyBorder="1"/>
    <xf numFmtId="0" fontId="10" fillId="12" borderId="26" xfId="1" applyFont="1" applyFill="1" applyBorder="1"/>
    <xf numFmtId="0" fontId="13" fillId="0" borderId="26" xfId="1" applyFont="1" applyBorder="1" applyAlignment="1">
      <alignment horizontal="center"/>
    </xf>
    <xf numFmtId="2" fontId="13" fillId="0" borderId="24" xfId="1" applyNumberFormat="1" applyFont="1" applyBorder="1" applyAlignment="1">
      <alignment horizontal="center"/>
    </xf>
    <xf numFmtId="164" fontId="13" fillId="0" borderId="25" xfId="1" applyNumberFormat="1" applyFont="1" applyBorder="1" applyAlignment="1">
      <alignment horizontal="center"/>
    </xf>
    <xf numFmtId="0" fontId="7" fillId="18" borderId="27" xfId="1" applyFont="1" applyFill="1" applyBorder="1" applyAlignment="1">
      <alignment horizontal="center" vertical="center"/>
    </xf>
    <xf numFmtId="0" fontId="4" fillId="0" borderId="30" xfId="1" applyFont="1" applyBorder="1" applyAlignment="1">
      <alignment vertical="center" wrapText="1"/>
    </xf>
    <xf numFmtId="0" fontId="3" fillId="19" borderId="30" xfId="1" applyFont="1" applyFill="1" applyBorder="1" applyAlignment="1">
      <alignment horizontal="center" vertical="center" wrapText="1"/>
    </xf>
    <xf numFmtId="0" fontId="3" fillId="19" borderId="32" xfId="1" applyFont="1" applyFill="1" applyBorder="1" applyAlignment="1">
      <alignment horizontal="center" vertical="center" wrapText="1"/>
    </xf>
    <xf numFmtId="0" fontId="14" fillId="20" borderId="27" xfId="1" applyFont="1" applyFill="1" applyBorder="1" applyAlignment="1">
      <alignment horizontal="center" vertical="center" wrapText="1"/>
    </xf>
    <xf numFmtId="0" fontId="15" fillId="21" borderId="27" xfId="1" applyFont="1" applyFill="1" applyBorder="1" applyAlignment="1">
      <alignment horizontal="center" vertical="center"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vertical="center" wrapText="1"/>
    </xf>
    <xf numFmtId="0" fontId="3" fillId="4" borderId="0" xfId="1" applyFont="1" applyFill="1" applyAlignment="1">
      <alignment horizontal="left" vertical="center"/>
    </xf>
    <xf numFmtId="0" fontId="5" fillId="3" borderId="1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6" fillId="5" borderId="7" xfId="1" applyFont="1" applyFill="1" applyBorder="1" applyAlignment="1">
      <alignment horizontal="center" vertical="center"/>
    </xf>
    <xf numFmtId="0" fontId="6" fillId="5" borderId="8" xfId="1" applyFont="1" applyFill="1" applyBorder="1" applyAlignment="1">
      <alignment horizontal="center" vertical="center"/>
    </xf>
    <xf numFmtId="164" fontId="6" fillId="5" borderId="7" xfId="1" applyNumberFormat="1" applyFont="1" applyFill="1" applyBorder="1" applyAlignment="1">
      <alignment horizontal="center" vertical="center"/>
    </xf>
    <xf numFmtId="2" fontId="6" fillId="5" borderId="7" xfId="1" applyNumberFormat="1" applyFont="1" applyFill="1" applyBorder="1" applyAlignment="1">
      <alignment horizontal="center" vertical="center"/>
    </xf>
    <xf numFmtId="0" fontId="4" fillId="0" borderId="7" xfId="1" applyFont="1" applyBorder="1" applyAlignment="1">
      <alignment vertical="center" wrapText="1"/>
    </xf>
    <xf numFmtId="0" fontId="4" fillId="0" borderId="14" xfId="1" applyFont="1" applyBorder="1" applyAlignment="1">
      <alignment vertical="center" wrapText="1"/>
    </xf>
    <xf numFmtId="0" fontId="4" fillId="0" borderId="8" xfId="1" applyFont="1" applyBorder="1" applyAlignment="1">
      <alignment vertical="center" wrapText="1"/>
    </xf>
    <xf numFmtId="164" fontId="10" fillId="3" borderId="14" xfId="1" applyNumberFormat="1" applyFont="1" applyFill="1" applyBorder="1" applyAlignment="1">
      <alignment wrapText="1"/>
    </xf>
    <xf numFmtId="164" fontId="10" fillId="3" borderId="8" xfId="1" applyNumberFormat="1" applyFont="1" applyFill="1" applyBorder="1" applyAlignment="1">
      <alignment wrapText="1"/>
    </xf>
    <xf numFmtId="0" fontId="10" fillId="3" borderId="14" xfId="1" applyFont="1" applyFill="1" applyBorder="1" applyAlignment="1">
      <alignment wrapText="1"/>
    </xf>
    <xf numFmtId="0" fontId="10" fillId="3" borderId="8" xfId="1" applyFont="1" applyFill="1" applyBorder="1" applyAlignment="1">
      <alignment wrapText="1"/>
    </xf>
    <xf numFmtId="0" fontId="11" fillId="3" borderId="0" xfId="1" applyFont="1" applyFill="1" applyAlignment="1">
      <alignment wrapText="1"/>
    </xf>
    <xf numFmtId="0" fontId="1" fillId="9" borderId="0" xfId="1" applyFont="1" applyFill="1" applyAlignment="1">
      <alignment vertical="center"/>
    </xf>
    <xf numFmtId="0" fontId="1" fillId="11" borderId="0" xfId="1" applyFont="1" applyFill="1" applyAlignment="1">
      <alignment vertical="center"/>
    </xf>
    <xf numFmtId="0" fontId="11" fillId="12" borderId="0" xfId="1" applyFont="1" applyFill="1" applyAlignment="1">
      <alignment vertical="center"/>
    </xf>
    <xf numFmtId="0" fontId="3" fillId="14" borderId="0" xfId="1" applyFont="1" applyFill="1"/>
    <xf numFmtId="0" fontId="5" fillId="15" borderId="16" xfId="1" applyFont="1" applyFill="1" applyBorder="1" applyAlignment="1">
      <alignment vertical="center" wrapText="1"/>
    </xf>
    <xf numFmtId="0" fontId="5" fillId="15" borderId="17" xfId="1" applyFont="1" applyFill="1" applyBorder="1" applyAlignment="1">
      <alignment vertical="center" wrapText="1"/>
    </xf>
    <xf numFmtId="0" fontId="5" fillId="15" borderId="18" xfId="1" applyFont="1" applyFill="1" applyBorder="1" applyAlignment="1">
      <alignment vertical="center" wrapText="1"/>
    </xf>
    <xf numFmtId="0" fontId="5" fillId="15" borderId="19" xfId="1" applyFont="1" applyFill="1" applyBorder="1" applyAlignment="1">
      <alignment vertical="center" wrapText="1"/>
    </xf>
    <xf numFmtId="0" fontId="5" fillId="15" borderId="0" xfId="1" applyFont="1" applyFill="1" applyAlignment="1">
      <alignment vertical="center" wrapText="1"/>
    </xf>
    <xf numFmtId="0" fontId="5" fillId="15" borderId="20" xfId="1" applyFont="1" applyFill="1" applyBorder="1" applyAlignment="1">
      <alignment vertical="center" wrapText="1"/>
    </xf>
    <xf numFmtId="0" fontId="5" fillId="15" borderId="21" xfId="1" applyFont="1" applyFill="1" applyBorder="1" applyAlignment="1">
      <alignment vertical="center" wrapText="1"/>
    </xf>
    <xf numFmtId="0" fontId="5" fillId="15" borderId="22" xfId="1" applyFont="1" applyFill="1" applyBorder="1" applyAlignment="1">
      <alignment vertical="center" wrapText="1"/>
    </xf>
    <xf numFmtId="0" fontId="5" fillId="15" borderId="23" xfId="1" applyFont="1" applyFill="1" applyBorder="1" applyAlignment="1">
      <alignment vertical="center" wrapText="1"/>
    </xf>
    <xf numFmtId="0" fontId="5" fillId="0" borderId="28" xfId="1" applyFont="1" applyBorder="1" applyAlignment="1">
      <alignment vertical="center" wrapText="1"/>
    </xf>
    <xf numFmtId="0" fontId="5" fillId="0" borderId="29" xfId="1" applyFont="1" applyBorder="1" applyAlignment="1">
      <alignment vertical="center" wrapText="1"/>
    </xf>
    <xf numFmtId="0" fontId="4" fillId="0" borderId="30" xfId="1" applyFont="1" applyBorder="1" applyAlignment="1">
      <alignment vertical="center" wrapText="1"/>
    </xf>
    <xf numFmtId="0" fontId="4" fillId="0" borderId="32" xfId="1" applyFont="1" applyBorder="1" applyAlignment="1">
      <alignment vertical="center" wrapText="1"/>
    </xf>
    <xf numFmtId="0" fontId="4" fillId="0" borderId="31" xfId="1" applyFont="1" applyBorder="1" applyAlignment="1">
      <alignment vertical="center" wrapText="1"/>
    </xf>
    <xf numFmtId="0" fontId="3" fillId="19" borderId="32" xfId="1" applyFont="1" applyFill="1" applyBorder="1" applyAlignment="1">
      <alignment horizontal="center" vertical="center" wrapText="1"/>
    </xf>
    <xf numFmtId="0" fontId="3" fillId="19" borderId="31" xfId="1" applyFont="1" applyFill="1" applyBorder="1" applyAlignment="1">
      <alignment horizontal="center" vertical="center" wrapText="1"/>
    </xf>
    <xf numFmtId="0" fontId="5" fillId="16" borderId="33" xfId="1" applyFont="1" applyFill="1" applyBorder="1" applyAlignment="1">
      <alignment horizontal="center" vertical="center" wrapText="1"/>
    </xf>
    <xf numFmtId="0" fontId="5" fillId="17" borderId="33" xfId="1" applyFont="1" applyFill="1" applyBorder="1" applyAlignment="1">
      <alignment horizontal="center" vertical="center" wrapText="1"/>
    </xf>
  </cellXfs>
  <cellStyles count="2">
    <cellStyle name="Обычный" xfId="0" builtinId="0"/>
    <cellStyle name="Normal" xfId="1" xr:uid="{00000000-0005-0000-0000-000000000000}"/>
  </cellStyles>
  <dxfs count="5">
    <dxf>
      <font>
        <b/>
        <color rgb="FF765800"/>
      </font>
      <fill>
        <patternFill>
          <bgColor rgb="FFFFF1C9"/>
        </patternFill>
      </fill>
    </dxf>
    <dxf>
      <font>
        <b/>
        <color rgb="FF8A2D2D"/>
      </font>
      <fill>
        <patternFill>
          <bgColor rgb="FFFCE1E1"/>
        </patternFill>
      </fill>
    </dxf>
    <dxf>
      <font>
        <color rgb="FF8A2D2D"/>
      </font>
      <fill>
        <patternFill>
          <bgColor rgb="FFFCE1E1"/>
        </patternFill>
      </fill>
    </dxf>
    <dxf>
      <font>
        <color rgb="FF765800"/>
      </font>
      <fill>
        <patternFill>
          <bgColor rgb="FFFFF1C9"/>
        </patternFill>
      </fill>
    </dxf>
    <dxf>
      <font>
        <color rgb="FF22563A"/>
      </font>
      <fill>
        <patternFill>
          <bgColor rgb="FFDDF3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Результаты </a:t>
            </a:r>
            <a:r>
              <a:rPr lang="en"/>
              <a:t>Assessment Week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Dashboard!$A$20:$A$26</c:f>
              <c:strCache>
                <c:ptCount val="7"/>
                <c:pt idx="0">
                  <c:v>Экзамен 1</c:v>
                </c:pt>
                <c:pt idx="1">
                  <c:v>Экзамен 2</c:v>
                </c:pt>
                <c:pt idx="2">
                  <c:v>Экзамен 3</c:v>
                </c:pt>
                <c:pt idx="3">
                  <c:v>Экзамен 4</c:v>
                </c:pt>
                <c:pt idx="4">
                  <c:v>Экзамен 5</c:v>
                </c:pt>
                <c:pt idx="5">
                  <c:v>Экзамен 6</c:v>
                </c:pt>
                <c:pt idx="6">
                  <c:v>Экзамен 7</c:v>
                </c:pt>
              </c:strCache>
            </c:strRef>
          </c:cat>
          <c:val>
            <c:numRef>
              <c:f>Dashboard!$B$20:$B$26</c:f>
              <c:numCache>
                <c:formatCode>0.0</c:formatCode>
                <c:ptCount val="7"/>
                <c:pt idx="0">
                  <c:v>24.75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807-154E-A8A7-C3355B5EA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18</xdr:row>
      <xdr:rowOff>0</xdr:rowOff>
    </xdr:from>
    <xdr:to>
      <xdr:col>10</xdr:col>
      <xdr:colOff>0</xdr:colOff>
      <xdr:row>33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opLeftCell="A11" workbookViewId="0">
      <selection sqref="A1:J2"/>
    </sheetView>
  </sheetViews>
  <sheetFormatPr baseColWidth="10" defaultColWidth="8.83203125" defaultRowHeight="15"/>
  <cols>
    <col min="1" max="3" width="14" customWidth="1"/>
    <col min="4" max="4" width="6" customWidth="1"/>
    <col min="5" max="5" width="14" customWidth="1"/>
    <col min="6" max="8" width="20" customWidth="1"/>
    <col min="9" max="10" width="14" customWidth="1"/>
  </cols>
  <sheetData>
    <row r="1" spans="1:10">
      <c r="A1" s="84" t="s">
        <v>0</v>
      </c>
      <c r="B1" s="84"/>
      <c r="C1" s="84"/>
      <c r="D1" s="84"/>
      <c r="E1" s="84"/>
      <c r="F1" s="84"/>
      <c r="G1" s="84"/>
      <c r="H1" s="84"/>
      <c r="I1" s="84"/>
      <c r="J1" s="84"/>
    </row>
    <row r="2" spans="1:10">
      <c r="A2" s="84"/>
      <c r="B2" s="84"/>
      <c r="C2" s="84"/>
      <c r="D2" s="84"/>
      <c r="E2" s="84"/>
      <c r="F2" s="84"/>
      <c r="G2" s="84"/>
      <c r="H2" s="84"/>
      <c r="I2" s="84"/>
      <c r="J2" s="84"/>
    </row>
    <row r="3" spans="1:10" ht="45.25" customHeight="1">
      <c r="A3" s="85" t="s">
        <v>1</v>
      </c>
      <c r="B3" s="85"/>
      <c r="C3" s="85"/>
      <c r="D3" s="85"/>
      <c r="E3" s="85"/>
      <c r="F3" s="85"/>
      <c r="G3" s="85"/>
      <c r="H3" s="85"/>
      <c r="I3" s="85"/>
      <c r="J3" s="85"/>
    </row>
    <row r="5" spans="1:10">
      <c r="A5" s="86" t="s">
        <v>2</v>
      </c>
      <c r="B5" s="86"/>
      <c r="C5" s="86"/>
      <c r="D5" s="86"/>
      <c r="E5" s="86"/>
      <c r="F5" s="86"/>
      <c r="G5" s="86"/>
      <c r="H5" s="86"/>
      <c r="I5" s="86"/>
      <c r="J5" s="86"/>
    </row>
    <row r="7" spans="1:10">
      <c r="A7" s="87" t="s">
        <v>3</v>
      </c>
      <c r="B7" s="88"/>
      <c r="C7" s="87" t="s">
        <v>4</v>
      </c>
      <c r="D7" s="88"/>
      <c r="E7" s="87" t="s">
        <v>5</v>
      </c>
      <c r="F7" s="88"/>
      <c r="G7" s="87" t="s">
        <v>6</v>
      </c>
      <c r="H7" s="88"/>
      <c r="I7" s="87" t="s">
        <v>7</v>
      </c>
      <c r="J7" s="88"/>
    </row>
    <row r="8" spans="1:10" ht="26">
      <c r="A8" s="89">
        <f>COUNTA(Exams!C3:C9)</f>
        <v>7</v>
      </c>
      <c r="B8" s="90"/>
      <c r="C8" s="89">
        <f>COUNTIF(Exams!D3:D9,"Завершен")</f>
        <v>1</v>
      </c>
      <c r="D8" s="90"/>
      <c r="E8" s="91">
        <f>IFERROR(AVERAGEIF(Exams!D3:D9,"Завершен",Exams!O3:O9),0)</f>
        <v>24.75</v>
      </c>
      <c r="F8" s="90"/>
      <c r="G8" s="92">
        <f>IFERROR(AVERAGEIF(Exams!D3:D9,"Завершен",Exams!R3:R9),0)</f>
        <v>0.8</v>
      </c>
      <c r="H8" s="90"/>
      <c r="I8" s="91">
        <f>IFERROR(AVERAGEIF(Exams!D3:D9,"Завершен",Exams!Q3:Q9),0)</f>
        <v>26.25</v>
      </c>
      <c r="J8" s="90"/>
    </row>
    <row r="9" spans="1:10">
      <c r="A9" s="2"/>
      <c r="B9" s="3"/>
      <c r="C9" s="2"/>
      <c r="D9" s="3"/>
      <c r="E9" s="2"/>
      <c r="F9" s="3"/>
      <c r="G9" s="2"/>
      <c r="H9" s="3"/>
      <c r="I9" s="2"/>
      <c r="J9" s="3"/>
    </row>
    <row r="11" spans="1:10">
      <c r="A11" s="87" t="s">
        <v>8</v>
      </c>
      <c r="B11" s="88"/>
      <c r="D11" s="86" t="s">
        <v>9</v>
      </c>
      <c r="E11" s="86"/>
      <c r="F11" s="86"/>
      <c r="G11" s="86"/>
      <c r="H11" s="86"/>
      <c r="I11" s="86"/>
      <c r="J11" s="86"/>
    </row>
    <row r="12" spans="1:10" ht="45.25" customHeight="1">
      <c r="A12" s="89">
        <f>COUNTIF(Review_Log!D5:D100,"Запланировано")</f>
        <v>6</v>
      </c>
      <c r="B12" s="90"/>
      <c r="D12" s="4" t="s">
        <v>10</v>
      </c>
      <c r="E12" s="7" t="s">
        <v>11</v>
      </c>
      <c r="F12" s="93" t="s">
        <v>12</v>
      </c>
      <c r="G12" s="94"/>
      <c r="H12" s="94"/>
      <c r="I12" s="94"/>
      <c r="J12" s="95"/>
    </row>
    <row r="13" spans="1:10" ht="45.25" customHeight="1">
      <c r="A13" s="2"/>
      <c r="B13" s="3"/>
      <c r="D13" s="5" t="s">
        <v>13</v>
      </c>
      <c r="E13" s="8" t="s">
        <v>14</v>
      </c>
      <c r="F13" s="93" t="s">
        <v>15</v>
      </c>
      <c r="G13" s="94"/>
      <c r="H13" s="94"/>
      <c r="I13" s="94"/>
      <c r="J13" s="95"/>
    </row>
    <row r="14" spans="1:10" ht="45.25" customHeight="1">
      <c r="D14" s="5" t="s">
        <v>16</v>
      </c>
      <c r="E14" s="8" t="s">
        <v>17</v>
      </c>
      <c r="F14" s="93" t="s">
        <v>18</v>
      </c>
      <c r="G14" s="94"/>
      <c r="H14" s="94"/>
      <c r="I14" s="94"/>
      <c r="J14" s="95"/>
    </row>
    <row r="15" spans="1:10" ht="45.25" customHeight="1">
      <c r="D15" s="5" t="s">
        <v>19</v>
      </c>
      <c r="E15" s="8" t="s">
        <v>20</v>
      </c>
      <c r="F15" s="93" t="s">
        <v>21</v>
      </c>
      <c r="G15" s="94"/>
      <c r="H15" s="94"/>
      <c r="I15" s="94"/>
      <c r="J15" s="95"/>
    </row>
    <row r="16" spans="1:10" ht="45.25" customHeight="1">
      <c r="D16" s="6" t="s">
        <v>22</v>
      </c>
      <c r="E16" s="9" t="s">
        <v>23</v>
      </c>
      <c r="F16" s="93" t="s">
        <v>24</v>
      </c>
      <c r="G16" s="94"/>
      <c r="H16" s="94"/>
      <c r="I16" s="94"/>
      <c r="J16" s="95"/>
    </row>
    <row r="18" spans="1:10">
      <c r="A18" s="86" t="s">
        <v>25</v>
      </c>
      <c r="B18" s="86"/>
      <c r="C18" s="86"/>
      <c r="D18" s="86"/>
      <c r="E18" s="86"/>
      <c r="F18" s="86"/>
      <c r="G18" s="86"/>
      <c r="H18" s="86"/>
      <c r="I18" s="86"/>
      <c r="J18" s="86"/>
    </row>
    <row r="20" spans="1:10">
      <c r="A20" s="10" t="s">
        <v>26</v>
      </c>
      <c r="B20" s="11">
        <f>Exams!O3</f>
        <v>24.75</v>
      </c>
    </row>
    <row r="21" spans="1:10">
      <c r="A21" s="10" t="s">
        <v>27</v>
      </c>
      <c r="B21" s="11">
        <f>Exams!O4</f>
        <v>0</v>
      </c>
    </row>
    <row r="22" spans="1:10">
      <c r="A22" s="10" t="s">
        <v>28</v>
      </c>
      <c r="B22" s="11">
        <f>Exams!O5</f>
        <v>0</v>
      </c>
    </row>
    <row r="23" spans="1:10">
      <c r="A23" s="10" t="s">
        <v>29</v>
      </c>
      <c r="B23" s="11">
        <f>Exams!O6</f>
        <v>0</v>
      </c>
    </row>
    <row r="24" spans="1:10">
      <c r="A24" s="10" t="s">
        <v>30</v>
      </c>
      <c r="B24" s="11">
        <f>Exams!O7</f>
        <v>0</v>
      </c>
    </row>
    <row r="25" spans="1:10">
      <c r="A25" s="10" t="s">
        <v>31</v>
      </c>
      <c r="B25" s="11">
        <f>Exams!O8</f>
        <v>0</v>
      </c>
    </row>
    <row r="26" spans="1:10">
      <c r="A26" s="10" t="s">
        <v>32</v>
      </c>
      <c r="B26" s="11">
        <f>Exams!O9</f>
        <v>0</v>
      </c>
    </row>
  </sheetData>
  <mergeCells count="22">
    <mergeCell ref="I8:J8"/>
    <mergeCell ref="A12:B12"/>
    <mergeCell ref="D11:J11"/>
    <mergeCell ref="A18:J18"/>
    <mergeCell ref="F12:J12"/>
    <mergeCell ref="F13:J13"/>
    <mergeCell ref="F14:J14"/>
    <mergeCell ref="F15:J15"/>
    <mergeCell ref="F16:J16"/>
    <mergeCell ref="A11:B11"/>
    <mergeCell ref="A8:B8"/>
    <mergeCell ref="C8:D8"/>
    <mergeCell ref="E8:F8"/>
    <mergeCell ref="G8:H8"/>
    <mergeCell ref="A1:J2"/>
    <mergeCell ref="A3:J3"/>
    <mergeCell ref="A5:J5"/>
    <mergeCell ref="A7:B7"/>
    <mergeCell ref="C7:D7"/>
    <mergeCell ref="E7:F7"/>
    <mergeCell ref="G7:H7"/>
    <mergeCell ref="I7:J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1"/>
  <sheetViews>
    <sheetView workbookViewId="0">
      <selection sqref="A1:T1"/>
    </sheetView>
  </sheetViews>
  <sheetFormatPr baseColWidth="10" defaultColWidth="8.83203125" defaultRowHeight="15"/>
  <cols>
    <col min="1" max="1" width="5" customWidth="1"/>
    <col min="2" max="2" width="12" customWidth="1"/>
    <col min="3" max="3" width="25" customWidth="1"/>
    <col min="4" max="4" width="14" customWidth="1"/>
    <col min="5" max="6" width="11" customWidth="1"/>
    <col min="7" max="7" width="10" customWidth="1"/>
    <col min="8" max="8" width="15" customWidth="1"/>
    <col min="9" max="9" width="14" customWidth="1"/>
    <col min="10" max="10" width="13" customWidth="1"/>
    <col min="11" max="11" width="12" customWidth="1"/>
    <col min="12" max="12" width="11" customWidth="1"/>
    <col min="13" max="13" width="10" customWidth="1"/>
    <col min="14" max="14" width="11" customWidth="1"/>
    <col min="15" max="15" width="10" customWidth="1"/>
    <col min="16" max="16" width="15" customWidth="1"/>
    <col min="17" max="17" width="14" customWidth="1"/>
    <col min="18" max="18" width="10" customWidth="1"/>
    <col min="19" max="19" width="15" customWidth="1"/>
    <col min="20" max="20" width="11" customWidth="1"/>
    <col min="21" max="21" width="13" customWidth="1"/>
    <col min="22" max="24" width="28" customWidth="1"/>
  </cols>
  <sheetData>
    <row r="1" spans="1:24" ht="23">
      <c r="A1" s="84" t="s">
        <v>33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1"/>
      <c r="V1" s="1"/>
      <c r="W1" s="1"/>
      <c r="X1" s="1"/>
    </row>
    <row r="2" spans="1:24" ht="56" customHeight="1">
      <c r="A2" s="55" t="s">
        <v>34</v>
      </c>
      <c r="B2" s="55" t="s">
        <v>35</v>
      </c>
      <c r="C2" s="55" t="s">
        <v>36</v>
      </c>
      <c r="D2" s="55" t="s">
        <v>37</v>
      </c>
      <c r="E2" s="55" t="s">
        <v>38</v>
      </c>
      <c r="F2" s="55" t="s">
        <v>39</v>
      </c>
      <c r="G2" s="55" t="s">
        <v>40</v>
      </c>
      <c r="H2" s="55" t="s">
        <v>41</v>
      </c>
      <c r="I2" s="55" t="s">
        <v>42</v>
      </c>
      <c r="J2" s="55" t="s">
        <v>43</v>
      </c>
      <c r="K2" s="55" t="s">
        <v>44</v>
      </c>
      <c r="L2" s="55" t="s">
        <v>45</v>
      </c>
      <c r="M2" s="55" t="s">
        <v>46</v>
      </c>
      <c r="N2" s="55" t="s">
        <v>47</v>
      </c>
      <c r="O2" s="55" t="s">
        <v>48</v>
      </c>
      <c r="P2" s="55" t="s">
        <v>49</v>
      </c>
      <c r="Q2" s="55" t="s">
        <v>50</v>
      </c>
      <c r="R2" s="55" t="s">
        <v>51</v>
      </c>
      <c r="S2" s="55" t="s">
        <v>52</v>
      </c>
      <c r="T2" s="55" t="s">
        <v>53</v>
      </c>
      <c r="U2" s="12" t="s">
        <v>51</v>
      </c>
      <c r="V2" s="12" t="s">
        <v>52</v>
      </c>
      <c r="W2" s="12" t="s">
        <v>54</v>
      </c>
      <c r="X2" s="12" t="s">
        <v>53</v>
      </c>
    </row>
    <row r="3" spans="1:24" ht="96" customHeight="1">
      <c r="A3" s="13">
        <v>1</v>
      </c>
      <c r="B3" s="19" t="s">
        <v>55</v>
      </c>
      <c r="C3" s="22" t="s">
        <v>56</v>
      </c>
      <c r="D3" s="14" t="s">
        <v>57</v>
      </c>
      <c r="E3" s="14">
        <v>32</v>
      </c>
      <c r="F3" s="14">
        <v>14</v>
      </c>
      <c r="G3" s="14">
        <v>20</v>
      </c>
      <c r="H3" s="14">
        <v>2</v>
      </c>
      <c r="I3" s="14">
        <v>20</v>
      </c>
      <c r="J3" s="14">
        <v>2.5</v>
      </c>
      <c r="K3" s="14">
        <v>20</v>
      </c>
      <c r="L3" s="14">
        <v>5.25</v>
      </c>
      <c r="M3" s="14">
        <v>20</v>
      </c>
      <c r="N3" s="14">
        <v>1</v>
      </c>
      <c r="O3" s="29">
        <f>(F3+H3+J3+L3+N3)/100*100</f>
        <v>24.75</v>
      </c>
      <c r="P3" s="29">
        <v>0.6</v>
      </c>
      <c r="Q3" s="29">
        <f>L3/M3*100</f>
        <v>26.25</v>
      </c>
      <c r="R3" s="29">
        <v>0.8</v>
      </c>
      <c r="S3" s="23" t="s">
        <v>58</v>
      </c>
      <c r="T3" s="54" t="s">
        <v>59</v>
      </c>
      <c r="U3" s="28"/>
      <c r="V3" s="22"/>
      <c r="W3" s="22"/>
      <c r="X3" s="25"/>
    </row>
    <row r="4" spans="1:24" ht="48" customHeight="1">
      <c r="A4" s="15">
        <v>2</v>
      </c>
      <c r="B4" s="20" t="s">
        <v>60</v>
      </c>
      <c r="C4" s="23" t="s">
        <v>61</v>
      </c>
      <c r="D4" s="16" t="s">
        <v>62</v>
      </c>
      <c r="E4" s="16">
        <v>150</v>
      </c>
      <c r="F4" s="16"/>
      <c r="G4" s="16">
        <v>20</v>
      </c>
      <c r="H4" s="16"/>
      <c r="I4" s="16">
        <v>20</v>
      </c>
      <c r="J4" s="16"/>
      <c r="K4" s="16">
        <v>20</v>
      </c>
      <c r="L4" s="16"/>
      <c r="M4" s="16">
        <v>20</v>
      </c>
      <c r="N4" s="16"/>
      <c r="O4" s="29">
        <f t="shared" ref="O4:O9" si="0">IFERROR((F4+H4+J4+L4+N4)/100*100,"")</f>
        <v>0</v>
      </c>
      <c r="P4" s="16"/>
      <c r="Q4" s="29">
        <f t="shared" ref="Q4:Q9" si="1">IFERROR(L4/M4*100,"")</f>
        <v>0</v>
      </c>
      <c r="R4" s="29"/>
      <c r="S4" s="23" t="s">
        <v>63</v>
      </c>
      <c r="T4" s="50"/>
      <c r="U4" s="29"/>
      <c r="V4" s="23"/>
      <c r="W4" s="23"/>
      <c r="X4" s="26"/>
    </row>
    <row r="5" spans="1:24" ht="48" customHeight="1">
      <c r="A5" s="15">
        <v>3</v>
      </c>
      <c r="B5" s="20" t="s">
        <v>64</v>
      </c>
      <c r="C5" s="23" t="s">
        <v>65</v>
      </c>
      <c r="D5" s="16" t="s">
        <v>62</v>
      </c>
      <c r="E5" s="16">
        <v>150</v>
      </c>
      <c r="F5" s="16"/>
      <c r="G5" s="16">
        <v>20</v>
      </c>
      <c r="H5" s="16"/>
      <c r="I5" s="16">
        <v>20</v>
      </c>
      <c r="J5" s="16"/>
      <c r="K5" s="16">
        <v>20</v>
      </c>
      <c r="L5" s="16"/>
      <c r="M5" s="16">
        <v>20</v>
      </c>
      <c r="N5" s="16"/>
      <c r="O5" s="29">
        <f t="shared" si="0"/>
        <v>0</v>
      </c>
      <c r="P5" s="16"/>
      <c r="Q5" s="29">
        <f t="shared" si="1"/>
        <v>0</v>
      </c>
      <c r="R5" s="29"/>
      <c r="S5" s="23" t="s">
        <v>66</v>
      </c>
      <c r="T5" s="50"/>
      <c r="U5" s="29"/>
      <c r="V5" s="23"/>
      <c r="W5" s="23"/>
      <c r="X5" s="26"/>
    </row>
    <row r="6" spans="1:24" ht="48" customHeight="1">
      <c r="A6" s="15">
        <v>4</v>
      </c>
      <c r="B6" s="20" t="s">
        <v>67</v>
      </c>
      <c r="C6" s="23" t="s">
        <v>68</v>
      </c>
      <c r="D6" s="16" t="s">
        <v>62</v>
      </c>
      <c r="E6" s="16">
        <v>165</v>
      </c>
      <c r="F6" s="16"/>
      <c r="G6" s="16">
        <v>20</v>
      </c>
      <c r="H6" s="16"/>
      <c r="I6" s="16">
        <v>20</v>
      </c>
      <c r="J6" s="16"/>
      <c r="K6" s="16">
        <v>20</v>
      </c>
      <c r="L6" s="16"/>
      <c r="M6" s="16">
        <v>20</v>
      </c>
      <c r="N6" s="16"/>
      <c r="O6" s="29">
        <f t="shared" si="0"/>
        <v>0</v>
      </c>
      <c r="P6" s="16"/>
      <c r="Q6" s="29">
        <f t="shared" si="1"/>
        <v>0</v>
      </c>
      <c r="R6" s="29"/>
      <c r="S6" s="23" t="s">
        <v>69</v>
      </c>
      <c r="T6" s="50"/>
      <c r="U6" s="29"/>
      <c r="V6" s="23"/>
      <c r="W6" s="23"/>
      <c r="X6" s="26"/>
    </row>
    <row r="7" spans="1:24" ht="48" customHeight="1">
      <c r="A7" s="15">
        <v>5</v>
      </c>
      <c r="B7" s="20" t="s">
        <v>70</v>
      </c>
      <c r="C7" s="23" t="s">
        <v>71</v>
      </c>
      <c r="D7" s="16" t="s">
        <v>62</v>
      </c>
      <c r="E7" s="16">
        <v>150</v>
      </c>
      <c r="F7" s="16"/>
      <c r="G7" s="16">
        <v>20</v>
      </c>
      <c r="H7" s="16"/>
      <c r="I7" s="16">
        <v>20</v>
      </c>
      <c r="J7" s="16"/>
      <c r="K7" s="16">
        <v>20</v>
      </c>
      <c r="L7" s="16"/>
      <c r="M7" s="16">
        <v>20</v>
      </c>
      <c r="N7" s="16"/>
      <c r="O7" s="29">
        <f t="shared" si="0"/>
        <v>0</v>
      </c>
      <c r="P7" s="16"/>
      <c r="Q7" s="29">
        <f t="shared" si="1"/>
        <v>0</v>
      </c>
      <c r="R7" s="29"/>
      <c r="S7" s="23" t="s">
        <v>72</v>
      </c>
      <c r="T7" s="50"/>
      <c r="U7" s="29"/>
      <c r="V7" s="23"/>
      <c r="W7" s="23"/>
      <c r="X7" s="26"/>
    </row>
    <row r="8" spans="1:24" ht="48" customHeight="1">
      <c r="A8" s="15">
        <v>6</v>
      </c>
      <c r="B8" s="20" t="s">
        <v>73</v>
      </c>
      <c r="C8" s="23" t="s">
        <v>74</v>
      </c>
      <c r="D8" s="16" t="s">
        <v>62</v>
      </c>
      <c r="E8" s="16">
        <v>180</v>
      </c>
      <c r="F8" s="16"/>
      <c r="G8" s="16">
        <v>20</v>
      </c>
      <c r="H8" s="16"/>
      <c r="I8" s="16">
        <v>20</v>
      </c>
      <c r="J8" s="16"/>
      <c r="K8" s="16">
        <v>20</v>
      </c>
      <c r="L8" s="16"/>
      <c r="M8" s="16">
        <v>20</v>
      </c>
      <c r="N8" s="16"/>
      <c r="O8" s="29">
        <f t="shared" si="0"/>
        <v>0</v>
      </c>
      <c r="P8" s="16"/>
      <c r="Q8" s="29">
        <f t="shared" si="1"/>
        <v>0</v>
      </c>
      <c r="R8" s="29"/>
      <c r="S8" s="23" t="s">
        <v>75</v>
      </c>
      <c r="T8" s="50"/>
      <c r="U8" s="29"/>
      <c r="V8" s="23"/>
      <c r="W8" s="23"/>
      <c r="X8" s="26"/>
    </row>
    <row r="9" spans="1:24" ht="48" customHeight="1">
      <c r="A9" s="17">
        <v>7</v>
      </c>
      <c r="B9" s="21" t="s">
        <v>76</v>
      </c>
      <c r="C9" s="24" t="s">
        <v>77</v>
      </c>
      <c r="D9" s="18" t="s">
        <v>62</v>
      </c>
      <c r="E9" s="18">
        <v>165</v>
      </c>
      <c r="F9" s="18"/>
      <c r="G9" s="18">
        <v>20</v>
      </c>
      <c r="H9" s="18"/>
      <c r="I9" s="18">
        <v>20</v>
      </c>
      <c r="J9" s="18"/>
      <c r="K9" s="18">
        <v>20</v>
      </c>
      <c r="L9" s="18"/>
      <c r="M9" s="18">
        <v>20</v>
      </c>
      <c r="N9" s="18"/>
      <c r="O9" s="30">
        <f t="shared" si="0"/>
        <v>0</v>
      </c>
      <c r="P9" s="18"/>
      <c r="Q9" s="30">
        <f t="shared" si="1"/>
        <v>0</v>
      </c>
      <c r="R9" s="30"/>
      <c r="S9" s="24" t="s">
        <v>78</v>
      </c>
      <c r="T9" s="51"/>
      <c r="U9" s="30"/>
      <c r="V9" s="24"/>
      <c r="W9" s="24"/>
      <c r="X9" s="27"/>
    </row>
    <row r="11" spans="1:24">
      <c r="A11" s="86" t="s">
        <v>79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52"/>
      <c r="P11" s="53"/>
      <c r="Q11" s="53"/>
      <c r="R11" s="31">
        <f>IFERROR(AVERAGEIF(D3:D9,"Завершен",R3:R9),0)</f>
        <v>0.8</v>
      </c>
      <c r="S11" s="96">
        <f>IFERROR(AVERAGEIF(D3:D9,"Завершен",S3:S9),0)</f>
        <v>0</v>
      </c>
      <c r="T11" s="97">
        <f>IFERROR(AVERAGEIF(D3:D9,"Завершен",T3:T9),0)</f>
        <v>0</v>
      </c>
      <c r="U11" s="32">
        <f>IFERROR(AVERAGEIF(D3:D9,"Завершен",U3:U9),0)</f>
        <v>0</v>
      </c>
      <c r="V11" s="98" t="s">
        <v>80</v>
      </c>
      <c r="W11" s="98"/>
      <c r="X11" s="99"/>
    </row>
  </sheetData>
  <mergeCells count="4">
    <mergeCell ref="A1:T1"/>
    <mergeCell ref="A11:N11"/>
    <mergeCell ref="S11:T11"/>
    <mergeCell ref="V11:X11"/>
  </mergeCells>
  <conditionalFormatting sqref="D3:D9">
    <cfRule type="expression" dxfId="4" priority="6">
      <formula>D3="Завершен"</formula>
    </cfRule>
    <cfRule type="expression" dxfId="3" priority="7">
      <formula>D3="В процессе"</formula>
    </cfRule>
    <cfRule type="expression" dxfId="2" priority="8">
      <formula>D3="Перенесен"</formula>
    </cfRule>
  </conditionalFormatting>
  <conditionalFormatting sqref="O3:O9">
    <cfRule type="colorScale" priority="4">
      <colorScale>
        <cfvo type="min"/>
        <cfvo type="percentile" val="50"/>
        <cfvo type="max"/>
        <color rgb="FFF5B7B7"/>
        <color rgb="FFFFF1C9"/>
        <color rgb="FFBFE8CD"/>
      </colorScale>
    </cfRule>
  </conditionalFormatting>
  <conditionalFormatting sqref="Q3:Q9">
    <cfRule type="colorScale" priority="5">
      <colorScale>
        <cfvo type="min"/>
        <cfvo type="percentile" val="50"/>
        <cfvo type="max"/>
        <color rgb="FFF5B7B7"/>
        <color rgb="FFFFF1C9"/>
        <color rgb="FFBFE8CD"/>
      </colorScale>
    </cfRule>
  </conditionalFormatting>
  <conditionalFormatting sqref="R3:R9">
    <cfRule type="colorScale" priority="9">
      <colorScale>
        <cfvo type="min"/>
        <cfvo type="percentile" val="50"/>
        <cfvo type="max"/>
        <color rgb="FFF5B7B7"/>
        <color rgb="FFFFF1C9"/>
        <color rgb="FFBFE8CD"/>
      </colorScale>
    </cfRule>
  </conditionalFormatting>
  <conditionalFormatting sqref="T3:T9">
    <cfRule type="colorScale" priority="10">
      <colorScale>
        <cfvo type="min"/>
        <cfvo type="percentile" val="50"/>
        <cfvo type="max"/>
        <color rgb="FFF5B7B7"/>
        <color rgb="FFFFF1C9"/>
        <color rgb="FFBFE8CD"/>
      </colorScale>
    </cfRule>
  </conditionalFormatting>
  <conditionalFormatting sqref="U3:U9">
    <cfRule type="dataBar" priority="11">
      <dataBar>
        <cfvo type="min"/>
        <cfvo type="max"/>
        <color rgb="FFA02B93"/>
      </dataBar>
    </cfRule>
    <cfRule type="dataBar" priority="1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{322931FF-63B5-A449-42DF-5EFB6E03DCC2}</x14:id>
        </ext>
      </extLst>
    </cfRule>
  </conditionalFormatting>
  <dataValidations count="3">
    <dataValidation type="list" sqref="D3:D9" xr:uid="{00000000-0002-0000-0100-000000000000}">
      <formula1>"Не начат,В процессе,Завершен,Перенесен"</formula1>
    </dataValidation>
    <dataValidation type="list" sqref="P3:P9 S3:S9" xr:uid="{00000000-0002-0000-0100-000001000000}">
      <formula1>"0,1,2,3"</formula1>
    </dataValidation>
    <dataValidation type="decimal" sqref="R3:R9 U3:U9" xr:uid="{00000000-0002-0000-0100-000002000000}">
      <formula1>0</formula1>
      <formula2>5</formula2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2931FF-63B5-A449-42DF-5EFB6E03DCC2}">
            <x14:dataBar>
              <x14:cfvo type="min"/>
              <x14:cfvo type="max"/>
              <x14:negativeFillColor auto="1"/>
              <x14:axisColor auto="1"/>
            </x14:dataBar>
          </x14:cfRule>
          <xm:sqref>U3:U9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4"/>
  <sheetViews>
    <sheetView topLeftCell="A8" workbookViewId="0">
      <selection sqref="A1:N1"/>
    </sheetView>
  </sheetViews>
  <sheetFormatPr baseColWidth="10" defaultColWidth="8.83203125" defaultRowHeight="15"/>
  <cols>
    <col min="1" max="1" width="20" customWidth="1"/>
    <col min="2" max="2" width="24" customWidth="1"/>
    <col min="3" max="3" width="20" customWidth="1"/>
    <col min="4" max="4" width="15" customWidth="1"/>
    <col min="5" max="5" width="16" customWidth="1"/>
    <col min="6" max="6" width="17" customWidth="1"/>
    <col min="7" max="8" width="14" customWidth="1"/>
    <col min="9" max="10" width="28" customWidth="1"/>
    <col min="11" max="11" width="14" customWidth="1"/>
    <col min="12" max="12" width="30" customWidth="1"/>
    <col min="13" max="13" width="14" customWidth="1"/>
    <col min="14" max="14" width="30" customWidth="1"/>
  </cols>
  <sheetData>
    <row r="1" spans="1:14" ht="23">
      <c r="A1" s="84" t="s">
        <v>81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</row>
    <row r="2" spans="1:14">
      <c r="A2" s="100" t="s">
        <v>82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</row>
    <row r="4" spans="1:14" ht="48">
      <c r="A4" s="12" t="s">
        <v>83</v>
      </c>
      <c r="B4" s="12" t="s">
        <v>84</v>
      </c>
      <c r="C4" s="12" t="s">
        <v>85</v>
      </c>
      <c r="D4" s="12" t="s">
        <v>86</v>
      </c>
      <c r="E4" s="12" t="s">
        <v>87</v>
      </c>
      <c r="F4" s="12" t="s">
        <v>88</v>
      </c>
      <c r="G4" s="12" t="s">
        <v>89</v>
      </c>
      <c r="H4" s="12" t="s">
        <v>90</v>
      </c>
      <c r="I4" s="12" t="s">
        <v>91</v>
      </c>
      <c r="J4" s="12" t="s">
        <v>92</v>
      </c>
      <c r="K4" s="12" t="s">
        <v>93</v>
      </c>
      <c r="L4" s="12" t="s">
        <v>94</v>
      </c>
      <c r="M4" s="12" t="s">
        <v>95</v>
      </c>
      <c r="N4" s="12" t="s">
        <v>96</v>
      </c>
    </row>
    <row r="5" spans="1:14" ht="114.75" customHeight="1">
      <c r="A5" s="42" t="s">
        <v>97</v>
      </c>
      <c r="B5" s="22" t="s">
        <v>98</v>
      </c>
      <c r="C5" s="22" t="s">
        <v>99</v>
      </c>
      <c r="D5" s="22">
        <v>1</v>
      </c>
      <c r="E5" s="22">
        <v>25</v>
      </c>
      <c r="F5" s="22">
        <v>0.8</v>
      </c>
      <c r="G5" s="22">
        <v>0.7</v>
      </c>
      <c r="H5" s="22" t="s">
        <v>100</v>
      </c>
      <c r="I5" s="23" t="s">
        <v>101</v>
      </c>
      <c r="J5" s="23" t="s">
        <v>102</v>
      </c>
      <c r="K5" s="23" t="s">
        <v>103</v>
      </c>
      <c r="L5" s="23" t="s">
        <v>104</v>
      </c>
      <c r="M5" s="45">
        <v>46293</v>
      </c>
      <c r="N5" s="23" t="s">
        <v>105</v>
      </c>
    </row>
    <row r="6" spans="1:14" ht="114.75" customHeight="1">
      <c r="A6" s="43" t="s">
        <v>97</v>
      </c>
      <c r="B6" s="23" t="s">
        <v>106</v>
      </c>
      <c r="C6" s="23" t="s">
        <v>107</v>
      </c>
      <c r="D6" s="23">
        <v>1</v>
      </c>
      <c r="E6" s="23">
        <v>10</v>
      </c>
      <c r="F6" s="23">
        <v>0.4</v>
      </c>
      <c r="G6" s="23">
        <v>0.7</v>
      </c>
      <c r="H6" s="23" t="s">
        <v>100</v>
      </c>
      <c r="I6" s="23" t="s">
        <v>108</v>
      </c>
      <c r="J6" s="23" t="s">
        <v>109</v>
      </c>
      <c r="K6" s="23" t="s">
        <v>103</v>
      </c>
      <c r="L6" s="23" t="s">
        <v>110</v>
      </c>
      <c r="M6" s="45">
        <v>46293</v>
      </c>
      <c r="N6" s="23" t="s">
        <v>111</v>
      </c>
    </row>
    <row r="7" spans="1:14" ht="114.75" customHeight="1">
      <c r="A7" s="43" t="s">
        <v>97</v>
      </c>
      <c r="B7" s="23" t="s">
        <v>112</v>
      </c>
      <c r="C7" s="23" t="s">
        <v>113</v>
      </c>
      <c r="D7" s="23">
        <v>1</v>
      </c>
      <c r="E7" s="23">
        <v>20</v>
      </c>
      <c r="F7" s="23">
        <v>0.8</v>
      </c>
      <c r="G7" s="23">
        <v>0.8</v>
      </c>
      <c r="H7" s="23" t="s">
        <v>100</v>
      </c>
      <c r="I7" s="23" t="s">
        <v>114</v>
      </c>
      <c r="J7" s="23" t="s">
        <v>115</v>
      </c>
      <c r="K7" s="23" t="s">
        <v>103</v>
      </c>
      <c r="L7" s="23" t="s">
        <v>116</v>
      </c>
      <c r="M7" s="45">
        <v>46293</v>
      </c>
      <c r="N7" s="23" t="s">
        <v>117</v>
      </c>
    </row>
    <row r="8" spans="1:14" ht="114.75" customHeight="1">
      <c r="A8" s="43" t="s">
        <v>97</v>
      </c>
      <c r="B8" s="23" t="s">
        <v>118</v>
      </c>
      <c r="C8" s="23" t="s">
        <v>119</v>
      </c>
      <c r="D8" s="23">
        <v>1</v>
      </c>
      <c r="E8" s="23">
        <v>15</v>
      </c>
      <c r="F8" s="23">
        <v>0.5</v>
      </c>
      <c r="G8" s="23">
        <v>0.4</v>
      </c>
      <c r="H8" s="23" t="s">
        <v>100</v>
      </c>
      <c r="I8" s="23" t="s">
        <v>120</v>
      </c>
      <c r="J8" s="23" t="s">
        <v>121</v>
      </c>
      <c r="K8" s="23" t="s">
        <v>103</v>
      </c>
      <c r="L8" s="23" t="s">
        <v>122</v>
      </c>
      <c r="M8" s="45">
        <v>46293</v>
      </c>
      <c r="N8" s="23" t="s">
        <v>123</v>
      </c>
    </row>
    <row r="9" spans="1:14" ht="114.75" customHeight="1">
      <c r="A9" s="43" t="s">
        <v>97</v>
      </c>
      <c r="B9" s="23" t="s">
        <v>124</v>
      </c>
      <c r="C9" s="23" t="s">
        <v>125</v>
      </c>
      <c r="D9" s="23">
        <v>1</v>
      </c>
      <c r="E9" s="23">
        <v>18</v>
      </c>
      <c r="F9" s="23">
        <v>0.7</v>
      </c>
      <c r="G9" s="23">
        <v>0.5</v>
      </c>
      <c r="H9" s="23" t="s">
        <v>100</v>
      </c>
      <c r="I9" s="23" t="s">
        <v>126</v>
      </c>
      <c r="J9" s="23" t="s">
        <v>127</v>
      </c>
      <c r="K9" s="23" t="s">
        <v>103</v>
      </c>
      <c r="L9" s="23" t="s">
        <v>128</v>
      </c>
      <c r="M9" s="45">
        <v>46293</v>
      </c>
      <c r="N9" s="23" t="s">
        <v>129</v>
      </c>
    </row>
    <row r="10" spans="1:14" ht="114.75" customHeight="1">
      <c r="A10" s="43" t="s">
        <v>97</v>
      </c>
      <c r="B10" s="23" t="s">
        <v>130</v>
      </c>
      <c r="C10" s="23" t="s">
        <v>131</v>
      </c>
      <c r="D10" s="23">
        <v>1</v>
      </c>
      <c r="E10" s="23">
        <v>17</v>
      </c>
      <c r="F10" s="23">
        <v>0.5</v>
      </c>
      <c r="G10" s="23">
        <v>0.6</v>
      </c>
      <c r="H10" s="23" t="s">
        <v>100</v>
      </c>
      <c r="I10" s="23" t="s">
        <v>132</v>
      </c>
      <c r="J10" s="23" t="s">
        <v>133</v>
      </c>
      <c r="K10" s="23" t="s">
        <v>134</v>
      </c>
      <c r="L10" s="23" t="s">
        <v>135</v>
      </c>
      <c r="M10" s="45">
        <v>46293</v>
      </c>
      <c r="N10" s="23" t="s">
        <v>136</v>
      </c>
    </row>
    <row r="11" spans="1:14" ht="48" customHeight="1">
      <c r="A11" s="43" t="s">
        <v>137</v>
      </c>
      <c r="B11" s="23" t="s">
        <v>138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45"/>
      <c r="N11" s="26"/>
    </row>
    <row r="12" spans="1:14" ht="48" customHeight="1">
      <c r="A12" s="43" t="s">
        <v>137</v>
      </c>
      <c r="B12" s="23" t="s">
        <v>139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45"/>
      <c r="N12" s="26"/>
    </row>
    <row r="13" spans="1:14" ht="48" customHeight="1">
      <c r="A13" s="43" t="s">
        <v>137</v>
      </c>
      <c r="B13" s="23" t="s">
        <v>140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45"/>
      <c r="N13" s="26"/>
    </row>
    <row r="14" spans="1:14" ht="48" customHeight="1">
      <c r="A14" s="43" t="s">
        <v>137</v>
      </c>
      <c r="B14" s="23" t="s">
        <v>141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45"/>
      <c r="N14" s="26"/>
    </row>
    <row r="15" spans="1:14" ht="48" customHeight="1">
      <c r="A15" s="43" t="s">
        <v>137</v>
      </c>
      <c r="B15" s="23" t="s">
        <v>142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45"/>
      <c r="N15" s="26"/>
    </row>
    <row r="16" spans="1:14" ht="48" customHeight="1">
      <c r="A16" s="43" t="s">
        <v>65</v>
      </c>
      <c r="B16" s="23" t="s">
        <v>143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45"/>
      <c r="N16" s="26"/>
    </row>
    <row r="17" spans="1:14" ht="48" customHeight="1">
      <c r="A17" s="43" t="s">
        <v>65</v>
      </c>
      <c r="B17" s="23" t="s">
        <v>144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45"/>
      <c r="N17" s="26"/>
    </row>
    <row r="18" spans="1:14" ht="48" customHeight="1">
      <c r="A18" s="43" t="s">
        <v>65</v>
      </c>
      <c r="B18" s="23" t="s">
        <v>145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45"/>
      <c r="N18" s="26"/>
    </row>
    <row r="19" spans="1:14" ht="48" customHeight="1">
      <c r="A19" s="43" t="s">
        <v>65</v>
      </c>
      <c r="B19" s="23" t="s">
        <v>146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45"/>
      <c r="N19" s="26"/>
    </row>
    <row r="20" spans="1:14" ht="48" customHeight="1">
      <c r="A20" s="43" t="s">
        <v>147</v>
      </c>
      <c r="B20" s="23" t="s">
        <v>148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45"/>
      <c r="N20" s="26"/>
    </row>
    <row r="21" spans="1:14" ht="48" customHeight="1">
      <c r="A21" s="43" t="s">
        <v>147</v>
      </c>
      <c r="B21" s="23" t="s">
        <v>149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45"/>
      <c r="N21" s="26"/>
    </row>
    <row r="22" spans="1:14" ht="48" customHeight="1">
      <c r="A22" s="43" t="s">
        <v>147</v>
      </c>
      <c r="B22" s="23" t="s">
        <v>150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45"/>
      <c r="N22" s="26"/>
    </row>
    <row r="23" spans="1:14" ht="48" customHeight="1">
      <c r="A23" s="43" t="s">
        <v>147</v>
      </c>
      <c r="B23" s="23" t="s">
        <v>151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45"/>
      <c r="N23" s="26"/>
    </row>
    <row r="24" spans="1:14" ht="48" customHeight="1">
      <c r="A24" s="43" t="s">
        <v>152</v>
      </c>
      <c r="B24" s="23" t="s">
        <v>153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45"/>
      <c r="N24" s="26"/>
    </row>
    <row r="25" spans="1:14" ht="48" customHeight="1">
      <c r="A25" s="43" t="s">
        <v>152</v>
      </c>
      <c r="B25" s="23" t="s">
        <v>154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45"/>
      <c r="N25" s="26"/>
    </row>
    <row r="26" spans="1:14" ht="48" customHeight="1">
      <c r="A26" s="43" t="s">
        <v>152</v>
      </c>
      <c r="B26" s="23" t="s">
        <v>155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45"/>
      <c r="N26" s="26"/>
    </row>
    <row r="27" spans="1:14" ht="48" customHeight="1">
      <c r="A27" s="43" t="s">
        <v>156</v>
      </c>
      <c r="B27" s="23" t="s">
        <v>157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45"/>
      <c r="N27" s="26"/>
    </row>
    <row r="28" spans="1:14" ht="48" customHeight="1">
      <c r="A28" s="43" t="s">
        <v>156</v>
      </c>
      <c r="B28" s="23" t="s">
        <v>158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45"/>
      <c r="N28" s="26"/>
    </row>
    <row r="29" spans="1:14" ht="48" customHeight="1">
      <c r="A29" s="43" t="s">
        <v>156</v>
      </c>
      <c r="B29" s="23" t="s">
        <v>159</v>
      </c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45"/>
      <c r="N29" s="26"/>
    </row>
    <row r="30" spans="1:14" ht="48" customHeight="1">
      <c r="A30" s="43" t="s">
        <v>156</v>
      </c>
      <c r="B30" s="23" t="s">
        <v>160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45"/>
      <c r="N30" s="26"/>
    </row>
    <row r="31" spans="1:14" ht="48" customHeight="1">
      <c r="A31" s="43" t="s">
        <v>156</v>
      </c>
      <c r="B31" s="23" t="s">
        <v>161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45"/>
      <c r="N31" s="26"/>
    </row>
    <row r="32" spans="1:14" ht="48" customHeight="1">
      <c r="A32" s="43" t="s">
        <v>156</v>
      </c>
      <c r="B32" s="23" t="s">
        <v>162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45"/>
      <c r="N32" s="26"/>
    </row>
    <row r="33" spans="1:14" ht="48" customHeight="1">
      <c r="A33" s="43" t="s">
        <v>156</v>
      </c>
      <c r="B33" s="23" t="s">
        <v>163</v>
      </c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45"/>
      <c r="N33" s="26"/>
    </row>
    <row r="34" spans="1:14" ht="48" customHeight="1">
      <c r="A34" s="44" t="s">
        <v>164</v>
      </c>
      <c r="B34" s="24" t="s">
        <v>165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46"/>
      <c r="N34" s="27"/>
    </row>
  </sheetData>
  <mergeCells count="2">
    <mergeCell ref="A1:N1"/>
    <mergeCell ref="A2:N2"/>
  </mergeCells>
  <conditionalFormatting sqref="E5:E34">
    <cfRule type="colorScale" priority="1">
      <colorScale>
        <cfvo type="min"/>
        <cfvo type="percentile" val="50"/>
        <cfvo type="max"/>
        <color rgb="FFF5B7B7"/>
        <color rgb="FFFFF1C9"/>
        <color rgb="FFBFE8CD"/>
      </colorScale>
    </cfRule>
  </conditionalFormatting>
  <conditionalFormatting sqref="F5:F34">
    <cfRule type="dataBar" priority="2">
      <dataBar>
        <cfvo type="min"/>
        <cfvo type="max"/>
        <color rgb="FF0F9ED5"/>
      </dataBar>
    </cfRule>
    <cfRule type="dataBar" priority="5">
      <dataBar>
        <cfvo type="min"/>
        <cfvo type="max"/>
        <color rgb="FF0F9ED5"/>
      </dataBar>
      <extLst>
        <ext xmlns:x14="http://schemas.microsoft.com/office/spreadsheetml/2009/9/main" uri="{B025F937-C7B1-47D3-B67F-A62EFF666E3E}">
          <x14:id>{0E55E1C4-0B3A-D9FE-A00E-E6CC1D3382BB}</x14:id>
        </ext>
      </extLst>
    </cfRule>
  </conditionalFormatting>
  <conditionalFormatting sqref="K5:K34">
    <cfRule type="expression" dxfId="1" priority="3">
      <formula>K5="Критический"</formula>
    </cfRule>
    <cfRule type="expression" dxfId="0" priority="4">
      <formula>K5="Высокий"</formula>
    </cfRule>
  </conditionalFormatting>
  <dataValidations count="4">
    <dataValidation type="decimal" sqref="D5:D34 F5:F34" xr:uid="{00000000-0002-0000-0200-000000000000}">
      <formula1>0</formula1>
      <formula2>5</formula2>
    </dataValidation>
    <dataValidation type="list" sqref="G5:G34" xr:uid="{00000000-0002-0000-0200-000002000000}">
      <formula1>"0,1,2,3"</formula1>
    </dataValidation>
    <dataValidation type="list" sqref="H5:H34" xr:uid="{00000000-0002-0000-0200-000003000000}">
      <formula1>"Да,Нет,Неясно"</formula1>
    </dataValidation>
    <dataValidation type="list" sqref="K5:K34" xr:uid="{00000000-0002-0000-0200-000004000000}">
      <formula1>"Критический,Высокий,Средний,Низкий,Пока не нужен"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55E1C4-0B3A-D9FE-A00E-E6CC1D3382BB}">
            <x14:dataBar>
              <x14:cfvo type="min"/>
              <x14:cfvo type="max"/>
              <x14:negativeFillColor auto="1"/>
              <x14:axisColor auto="1"/>
            </x14:dataBar>
          </x14:cfRule>
          <xm:sqref>F5:F34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"/>
  <sheetViews>
    <sheetView workbookViewId="0">
      <selection sqref="A1:J1"/>
    </sheetView>
  </sheetViews>
  <sheetFormatPr baseColWidth="10" defaultColWidth="8.83203125" defaultRowHeight="15"/>
  <cols>
    <col min="1" max="1" width="24" customWidth="1"/>
    <col min="2" max="4" width="15" customWidth="1"/>
    <col min="5" max="5" width="22" customWidth="1"/>
    <col min="6" max="6" width="12" customWidth="1"/>
    <col min="7" max="8" width="10" customWidth="1"/>
    <col min="9" max="10" width="30" customWidth="1"/>
  </cols>
  <sheetData>
    <row r="1" spans="1:10" ht="23">
      <c r="A1" s="84" t="s">
        <v>166</v>
      </c>
      <c r="B1" s="84"/>
      <c r="C1" s="84"/>
      <c r="D1" s="84"/>
      <c r="E1" s="84"/>
      <c r="F1" s="84"/>
      <c r="G1" s="84"/>
      <c r="H1" s="84"/>
      <c r="I1" s="84"/>
      <c r="J1" s="84"/>
    </row>
    <row r="2" spans="1:10">
      <c r="A2" s="100" t="s">
        <v>167</v>
      </c>
      <c r="B2" s="100"/>
      <c r="C2" s="100"/>
      <c r="D2" s="100"/>
      <c r="E2" s="100"/>
      <c r="F2" s="100"/>
      <c r="G2" s="100"/>
      <c r="H2" s="100"/>
      <c r="I2" s="100"/>
      <c r="J2" s="100"/>
    </row>
    <row r="4" spans="1:10" ht="48">
      <c r="A4" s="12" t="s">
        <v>168</v>
      </c>
      <c r="B4" s="12" t="s">
        <v>169</v>
      </c>
      <c r="C4" s="12" t="s">
        <v>170</v>
      </c>
      <c r="D4" s="12" t="s">
        <v>37</v>
      </c>
      <c r="E4" s="12" t="s">
        <v>171</v>
      </c>
      <c r="F4" s="12" t="s">
        <v>172</v>
      </c>
      <c r="G4" s="12" t="s">
        <v>173</v>
      </c>
      <c r="H4" s="12" t="s">
        <v>174</v>
      </c>
      <c r="I4" s="12" t="s">
        <v>175</v>
      </c>
      <c r="J4" s="12" t="s">
        <v>176</v>
      </c>
    </row>
    <row r="5" spans="1:10" ht="90.75" customHeight="1">
      <c r="A5" s="23" t="s">
        <v>177</v>
      </c>
      <c r="B5" s="45">
        <v>46251</v>
      </c>
      <c r="C5" s="45">
        <v>46293</v>
      </c>
      <c r="D5" s="23" t="s">
        <v>3</v>
      </c>
      <c r="E5" s="23" t="s">
        <v>7</v>
      </c>
      <c r="F5" s="23"/>
      <c r="G5" s="23">
        <v>0.8</v>
      </c>
      <c r="H5" s="23"/>
      <c r="I5" s="23" t="s">
        <v>178</v>
      </c>
      <c r="J5" s="23" t="s">
        <v>179</v>
      </c>
    </row>
    <row r="6" spans="1:10" ht="90.75" customHeight="1">
      <c r="A6" s="23" t="s">
        <v>180</v>
      </c>
      <c r="B6" s="45">
        <v>46251</v>
      </c>
      <c r="C6" s="45">
        <v>46293</v>
      </c>
      <c r="D6" s="23" t="s">
        <v>3</v>
      </c>
      <c r="E6" s="23" t="s">
        <v>7</v>
      </c>
      <c r="F6" s="23"/>
      <c r="G6" s="23">
        <v>0.4</v>
      </c>
      <c r="H6" s="23"/>
      <c r="I6" s="23" t="s">
        <v>181</v>
      </c>
      <c r="J6" s="23" t="s">
        <v>182</v>
      </c>
    </row>
    <row r="7" spans="1:10" ht="90.75" customHeight="1">
      <c r="A7" s="23" t="s">
        <v>183</v>
      </c>
      <c r="B7" s="45">
        <v>46251</v>
      </c>
      <c r="C7" s="45">
        <v>46293</v>
      </c>
      <c r="D7" s="23" t="s">
        <v>3</v>
      </c>
      <c r="E7" s="23" t="s">
        <v>184</v>
      </c>
      <c r="F7" s="23"/>
      <c r="G7" s="23">
        <v>0.8</v>
      </c>
      <c r="H7" s="23"/>
      <c r="I7" s="23" t="s">
        <v>185</v>
      </c>
      <c r="J7" s="23" t="s">
        <v>186</v>
      </c>
    </row>
    <row r="8" spans="1:10" ht="90.75" customHeight="1">
      <c r="A8" s="23" t="s">
        <v>187</v>
      </c>
      <c r="B8" s="45">
        <v>46251</v>
      </c>
      <c r="C8" s="45">
        <v>46293</v>
      </c>
      <c r="D8" s="23" t="s">
        <v>3</v>
      </c>
      <c r="E8" s="23" t="s">
        <v>188</v>
      </c>
      <c r="F8" s="23"/>
      <c r="G8" s="23">
        <v>0.5</v>
      </c>
      <c r="H8" s="23"/>
      <c r="I8" s="23" t="s">
        <v>189</v>
      </c>
      <c r="J8" s="23" t="s">
        <v>190</v>
      </c>
    </row>
    <row r="9" spans="1:10" ht="90.75" customHeight="1">
      <c r="A9" s="23" t="s">
        <v>191</v>
      </c>
      <c r="B9" s="45">
        <v>46251</v>
      </c>
      <c r="C9" s="45">
        <v>46293</v>
      </c>
      <c r="D9" s="23" t="s">
        <v>3</v>
      </c>
      <c r="E9" s="23" t="s">
        <v>184</v>
      </c>
      <c r="F9" s="23"/>
      <c r="G9" s="23">
        <v>0.7</v>
      </c>
      <c r="H9" s="23"/>
      <c r="I9" s="23" t="s">
        <v>192</v>
      </c>
      <c r="J9" s="23" t="s">
        <v>193</v>
      </c>
    </row>
    <row r="10" spans="1:10" ht="90.75" customHeight="1">
      <c r="A10" s="23" t="s">
        <v>194</v>
      </c>
      <c r="B10" s="45">
        <v>46251</v>
      </c>
      <c r="C10" s="45">
        <v>46293</v>
      </c>
      <c r="D10" s="23" t="s">
        <v>3</v>
      </c>
      <c r="E10" s="23" t="s">
        <v>184</v>
      </c>
      <c r="F10" s="23"/>
      <c r="G10" s="23">
        <v>0.5</v>
      </c>
      <c r="H10" s="23"/>
      <c r="I10" s="23" t="s">
        <v>195</v>
      </c>
      <c r="J10" s="23" t="s">
        <v>196</v>
      </c>
    </row>
    <row r="11" spans="1:10" ht="42.75" customHeight="1">
      <c r="A11" s="43"/>
      <c r="B11" s="45"/>
      <c r="C11" s="45"/>
      <c r="D11" s="23"/>
      <c r="E11" s="23"/>
      <c r="F11" s="23"/>
      <c r="G11" s="23"/>
      <c r="H11" s="23"/>
      <c r="I11" s="23"/>
      <c r="J11" s="26"/>
    </row>
    <row r="12" spans="1:10" ht="42.75" customHeight="1">
      <c r="A12" s="43"/>
      <c r="B12" s="45"/>
      <c r="C12" s="45"/>
      <c r="D12" s="23"/>
      <c r="E12" s="23"/>
      <c r="F12" s="23"/>
      <c r="G12" s="23"/>
      <c r="H12" s="23"/>
      <c r="I12" s="23"/>
      <c r="J12" s="26"/>
    </row>
    <row r="13" spans="1:10" ht="42.75" customHeight="1">
      <c r="A13" s="43"/>
      <c r="B13" s="45"/>
      <c r="C13" s="45"/>
      <c r="D13" s="23"/>
      <c r="E13" s="23"/>
      <c r="F13" s="23"/>
      <c r="G13" s="23"/>
      <c r="H13" s="23"/>
      <c r="I13" s="23"/>
      <c r="J13" s="26"/>
    </row>
    <row r="14" spans="1:10" ht="42.75" customHeight="1">
      <c r="A14" s="43"/>
      <c r="B14" s="45"/>
      <c r="C14" s="45"/>
      <c r="D14" s="23"/>
      <c r="E14" s="23"/>
      <c r="F14" s="23"/>
      <c r="G14" s="23"/>
      <c r="H14" s="23"/>
      <c r="I14" s="23"/>
      <c r="J14" s="26"/>
    </row>
    <row r="15" spans="1:10" ht="42.75" customHeight="1">
      <c r="A15" s="43"/>
      <c r="B15" s="45"/>
      <c r="C15" s="45"/>
      <c r="D15" s="23"/>
      <c r="E15" s="23"/>
      <c r="F15" s="23"/>
      <c r="G15" s="23"/>
      <c r="H15" s="23"/>
      <c r="I15" s="23"/>
      <c r="J15" s="26"/>
    </row>
    <row r="16" spans="1:10" ht="42.75" customHeight="1">
      <c r="A16" s="43"/>
      <c r="B16" s="45"/>
      <c r="C16" s="45"/>
      <c r="D16" s="23"/>
      <c r="E16" s="23"/>
      <c r="F16" s="23"/>
      <c r="G16" s="23"/>
      <c r="H16" s="23"/>
      <c r="I16" s="23"/>
      <c r="J16" s="26"/>
    </row>
    <row r="17" spans="1:10" ht="42.75" customHeight="1">
      <c r="A17" s="43"/>
      <c r="B17" s="45"/>
      <c r="C17" s="45"/>
      <c r="D17" s="23"/>
      <c r="E17" s="23"/>
      <c r="F17" s="23"/>
      <c r="G17" s="23"/>
      <c r="H17" s="23"/>
      <c r="I17" s="23"/>
      <c r="J17" s="26"/>
    </row>
    <row r="18" spans="1:10" ht="42.75" customHeight="1">
      <c r="A18" s="43"/>
      <c r="B18" s="45"/>
      <c r="C18" s="45"/>
      <c r="D18" s="23"/>
      <c r="E18" s="23"/>
      <c r="F18" s="23"/>
      <c r="G18" s="23"/>
      <c r="H18" s="23"/>
      <c r="I18" s="23"/>
      <c r="J18" s="26"/>
    </row>
    <row r="19" spans="1:10" ht="42.75" customHeight="1">
      <c r="A19" s="43"/>
      <c r="B19" s="45"/>
      <c r="C19" s="45"/>
      <c r="D19" s="23"/>
      <c r="E19" s="23"/>
      <c r="F19" s="23"/>
      <c r="G19" s="23"/>
      <c r="H19" s="23"/>
      <c r="I19" s="23"/>
      <c r="J19" s="26"/>
    </row>
    <row r="20" spans="1:10" ht="42.75" customHeight="1">
      <c r="A20" s="43"/>
      <c r="B20" s="45"/>
      <c r="C20" s="45"/>
      <c r="D20" s="23"/>
      <c r="E20" s="23"/>
      <c r="F20" s="23"/>
      <c r="G20" s="23"/>
      <c r="H20" s="23"/>
      <c r="I20" s="23"/>
      <c r="J20" s="26"/>
    </row>
    <row r="21" spans="1:10" ht="42.75" customHeight="1">
      <c r="A21" s="43"/>
      <c r="B21" s="45"/>
      <c r="C21" s="45"/>
      <c r="D21" s="23"/>
      <c r="E21" s="23"/>
      <c r="F21" s="23"/>
      <c r="G21" s="23"/>
      <c r="H21" s="23"/>
      <c r="I21" s="23"/>
      <c r="J21" s="26"/>
    </row>
    <row r="22" spans="1:10" ht="42.75" customHeight="1">
      <c r="A22" s="43"/>
      <c r="B22" s="45"/>
      <c r="C22" s="45"/>
      <c r="D22" s="23"/>
      <c r="E22" s="23"/>
      <c r="F22" s="23"/>
      <c r="G22" s="23"/>
      <c r="H22" s="23"/>
      <c r="I22" s="23"/>
      <c r="J22" s="26"/>
    </row>
    <row r="23" spans="1:10" ht="42.75" customHeight="1">
      <c r="A23" s="43"/>
      <c r="B23" s="45"/>
      <c r="C23" s="45"/>
      <c r="D23" s="23"/>
      <c r="E23" s="23"/>
      <c r="F23" s="23"/>
      <c r="G23" s="23"/>
      <c r="H23" s="23"/>
      <c r="I23" s="23"/>
      <c r="J23" s="26"/>
    </row>
    <row r="24" spans="1:10" ht="42.75" customHeight="1">
      <c r="A24" s="43"/>
      <c r="B24" s="45"/>
      <c r="C24" s="45"/>
      <c r="D24" s="23"/>
      <c r="E24" s="23"/>
      <c r="F24" s="23"/>
      <c r="G24" s="23"/>
      <c r="H24" s="23"/>
      <c r="I24" s="23"/>
      <c r="J24" s="26"/>
    </row>
    <row r="25" spans="1:10" ht="42.75" customHeight="1">
      <c r="A25" s="43"/>
      <c r="B25" s="45"/>
      <c r="C25" s="45"/>
      <c r="D25" s="23"/>
      <c r="E25" s="23"/>
      <c r="F25" s="23"/>
      <c r="G25" s="23"/>
      <c r="H25" s="23"/>
      <c r="I25" s="23"/>
      <c r="J25" s="26"/>
    </row>
    <row r="26" spans="1:10" ht="42.75" customHeight="1">
      <c r="A26" s="43"/>
      <c r="B26" s="45"/>
      <c r="C26" s="45"/>
      <c r="D26" s="23"/>
      <c r="E26" s="23"/>
      <c r="F26" s="23"/>
      <c r="G26" s="23"/>
      <c r="H26" s="23"/>
      <c r="I26" s="23"/>
      <c r="J26" s="26"/>
    </row>
    <row r="27" spans="1:10" ht="42.75" customHeight="1">
      <c r="A27" s="43"/>
      <c r="B27" s="45"/>
      <c r="C27" s="45"/>
      <c r="D27" s="23"/>
      <c r="E27" s="23"/>
      <c r="F27" s="23"/>
      <c r="G27" s="23"/>
      <c r="H27" s="23"/>
      <c r="I27" s="23"/>
      <c r="J27" s="26"/>
    </row>
    <row r="28" spans="1:10" ht="42.75" customHeight="1">
      <c r="A28" s="43"/>
      <c r="B28" s="45"/>
      <c r="C28" s="45"/>
      <c r="D28" s="23"/>
      <c r="E28" s="23"/>
      <c r="F28" s="23"/>
      <c r="G28" s="23"/>
      <c r="H28" s="23"/>
      <c r="I28" s="23"/>
      <c r="J28" s="26"/>
    </row>
    <row r="29" spans="1:10" ht="42.75" customHeight="1">
      <c r="A29" s="43"/>
      <c r="B29" s="45"/>
      <c r="C29" s="45"/>
      <c r="D29" s="23"/>
      <c r="E29" s="23"/>
      <c r="F29" s="23"/>
      <c r="G29" s="23"/>
      <c r="H29" s="23"/>
      <c r="I29" s="23"/>
      <c r="J29" s="26"/>
    </row>
    <row r="30" spans="1:10" ht="42.75" customHeight="1">
      <c r="A30" s="43"/>
      <c r="B30" s="45"/>
      <c r="C30" s="45"/>
      <c r="D30" s="23"/>
      <c r="E30" s="23"/>
      <c r="F30" s="23"/>
      <c r="G30" s="23"/>
      <c r="H30" s="23"/>
      <c r="I30" s="23"/>
      <c r="J30" s="26"/>
    </row>
    <row r="31" spans="1:10" ht="42.75" customHeight="1">
      <c r="A31" s="43"/>
      <c r="B31" s="45"/>
      <c r="C31" s="45"/>
      <c r="D31" s="23"/>
      <c r="E31" s="23"/>
      <c r="F31" s="23"/>
      <c r="G31" s="23"/>
      <c r="H31" s="23"/>
      <c r="I31" s="23"/>
      <c r="J31" s="26"/>
    </row>
    <row r="32" spans="1:10" ht="42.75" customHeight="1">
      <c r="A32" s="43"/>
      <c r="B32" s="45"/>
      <c r="C32" s="45"/>
      <c r="D32" s="23"/>
      <c r="E32" s="23"/>
      <c r="F32" s="23"/>
      <c r="G32" s="23"/>
      <c r="H32" s="23"/>
      <c r="I32" s="23"/>
      <c r="J32" s="26"/>
    </row>
    <row r="33" spans="1:10" ht="42.75" customHeight="1">
      <c r="A33" s="43"/>
      <c r="B33" s="45"/>
      <c r="C33" s="45"/>
      <c r="D33" s="23"/>
      <c r="E33" s="23"/>
      <c r="F33" s="23"/>
      <c r="G33" s="23"/>
      <c r="H33" s="23"/>
      <c r="I33" s="23"/>
      <c r="J33" s="26"/>
    </row>
    <row r="34" spans="1:10" ht="42.75" customHeight="1">
      <c r="A34" s="43"/>
      <c r="B34" s="45"/>
      <c r="C34" s="45"/>
      <c r="D34" s="23"/>
      <c r="E34" s="23"/>
      <c r="F34" s="23"/>
      <c r="G34" s="23"/>
      <c r="H34" s="23"/>
      <c r="I34" s="23"/>
      <c r="J34" s="26"/>
    </row>
    <row r="35" spans="1:10" ht="42.75" customHeight="1">
      <c r="A35" s="43"/>
      <c r="B35" s="45"/>
      <c r="C35" s="45"/>
      <c r="D35" s="23"/>
      <c r="E35" s="23"/>
      <c r="F35" s="23"/>
      <c r="G35" s="23"/>
      <c r="H35" s="23"/>
      <c r="I35" s="23"/>
      <c r="J35" s="26"/>
    </row>
    <row r="36" spans="1:10" ht="42.75" customHeight="1">
      <c r="A36" s="43"/>
      <c r="B36" s="45"/>
      <c r="C36" s="45"/>
      <c r="D36" s="23"/>
      <c r="E36" s="23"/>
      <c r="F36" s="23"/>
      <c r="G36" s="23"/>
      <c r="H36" s="23"/>
      <c r="I36" s="23"/>
      <c r="J36" s="26"/>
    </row>
    <row r="37" spans="1:10" ht="42.75" customHeight="1">
      <c r="A37" s="43"/>
      <c r="B37" s="45"/>
      <c r="C37" s="45"/>
      <c r="D37" s="23"/>
      <c r="E37" s="23"/>
      <c r="F37" s="23"/>
      <c r="G37" s="23"/>
      <c r="H37" s="23"/>
      <c r="I37" s="23"/>
      <c r="J37" s="26"/>
    </row>
    <row r="38" spans="1:10" ht="42.75" customHeight="1">
      <c r="A38" s="43"/>
      <c r="B38" s="45"/>
      <c r="C38" s="45"/>
      <c r="D38" s="23"/>
      <c r="E38" s="23"/>
      <c r="F38" s="23"/>
      <c r="G38" s="23"/>
      <c r="H38" s="23"/>
      <c r="I38" s="23"/>
      <c r="J38" s="26"/>
    </row>
    <row r="39" spans="1:10" ht="42.75" customHeight="1">
      <c r="A39" s="43"/>
      <c r="B39" s="45"/>
      <c r="C39" s="45"/>
      <c r="D39" s="23"/>
      <c r="E39" s="23"/>
      <c r="F39" s="23"/>
      <c r="G39" s="23"/>
      <c r="H39" s="23"/>
      <c r="I39" s="23"/>
      <c r="J39" s="26"/>
    </row>
    <row r="40" spans="1:10" ht="42.75" customHeight="1">
      <c r="A40" s="43"/>
      <c r="B40" s="45"/>
      <c r="C40" s="45"/>
      <c r="D40" s="23"/>
      <c r="E40" s="23"/>
      <c r="F40" s="23"/>
      <c r="G40" s="23"/>
      <c r="H40" s="23"/>
      <c r="I40" s="23"/>
      <c r="J40" s="26"/>
    </row>
    <row r="41" spans="1:10" ht="42.75" customHeight="1">
      <c r="A41" s="43"/>
      <c r="B41" s="45"/>
      <c r="C41" s="45"/>
      <c r="D41" s="23"/>
      <c r="E41" s="23"/>
      <c r="F41" s="23"/>
      <c r="G41" s="23"/>
      <c r="H41" s="23"/>
      <c r="I41" s="23"/>
      <c r="J41" s="26"/>
    </row>
    <row r="42" spans="1:10" ht="42.75" customHeight="1">
      <c r="A42" s="43"/>
      <c r="B42" s="45"/>
      <c r="C42" s="45"/>
      <c r="D42" s="23"/>
      <c r="E42" s="23"/>
      <c r="F42" s="23"/>
      <c r="G42" s="23"/>
      <c r="H42" s="23"/>
      <c r="I42" s="23"/>
      <c r="J42" s="26"/>
    </row>
    <row r="43" spans="1:10" ht="42.75" customHeight="1">
      <c r="A43" s="43"/>
      <c r="B43" s="45"/>
      <c r="C43" s="45"/>
      <c r="D43" s="23"/>
      <c r="E43" s="23"/>
      <c r="F43" s="23"/>
      <c r="G43" s="23"/>
      <c r="H43" s="23"/>
      <c r="I43" s="23"/>
      <c r="J43" s="26"/>
    </row>
    <row r="44" spans="1:10" ht="42.75" customHeight="1">
      <c r="A44" s="43"/>
      <c r="B44" s="45"/>
      <c r="C44" s="45"/>
      <c r="D44" s="23"/>
      <c r="E44" s="23"/>
      <c r="F44" s="23"/>
      <c r="G44" s="23"/>
      <c r="H44" s="23"/>
      <c r="I44" s="23"/>
      <c r="J44" s="26"/>
    </row>
    <row r="45" spans="1:10" ht="42.75" customHeight="1">
      <c r="A45" s="43"/>
      <c r="B45" s="45"/>
      <c r="C45" s="45"/>
      <c r="D45" s="23"/>
      <c r="E45" s="23"/>
      <c r="F45" s="23"/>
      <c r="G45" s="23"/>
      <c r="H45" s="23"/>
      <c r="I45" s="23"/>
      <c r="J45" s="26"/>
    </row>
    <row r="46" spans="1:10" ht="42.75" customHeight="1">
      <c r="A46" s="43"/>
      <c r="B46" s="45"/>
      <c r="C46" s="45"/>
      <c r="D46" s="23"/>
      <c r="E46" s="23"/>
      <c r="F46" s="23"/>
      <c r="G46" s="23"/>
      <c r="H46" s="23"/>
      <c r="I46" s="23"/>
      <c r="J46" s="26"/>
    </row>
    <row r="47" spans="1:10" ht="42.75" customHeight="1">
      <c r="A47" s="43"/>
      <c r="B47" s="45"/>
      <c r="C47" s="45"/>
      <c r="D47" s="23"/>
      <c r="E47" s="23"/>
      <c r="F47" s="23"/>
      <c r="G47" s="23"/>
      <c r="H47" s="23"/>
      <c r="I47" s="23"/>
      <c r="J47" s="26"/>
    </row>
    <row r="48" spans="1:10" ht="42.75" customHeight="1">
      <c r="A48" s="43"/>
      <c r="B48" s="45"/>
      <c r="C48" s="45"/>
      <c r="D48" s="23"/>
      <c r="E48" s="23"/>
      <c r="F48" s="23"/>
      <c r="G48" s="23"/>
      <c r="H48" s="23"/>
      <c r="I48" s="23"/>
      <c r="J48" s="26"/>
    </row>
    <row r="49" spans="1:10" ht="42.75" customHeight="1">
      <c r="A49" s="43"/>
      <c r="B49" s="45"/>
      <c r="C49" s="45"/>
      <c r="D49" s="23"/>
      <c r="E49" s="23"/>
      <c r="F49" s="23"/>
      <c r="G49" s="23"/>
      <c r="H49" s="23"/>
      <c r="I49" s="23"/>
      <c r="J49" s="26"/>
    </row>
    <row r="50" spans="1:10" ht="42.75" customHeight="1">
      <c r="A50" s="43"/>
      <c r="B50" s="45"/>
      <c r="C50" s="45"/>
      <c r="D50" s="23"/>
      <c r="E50" s="23"/>
      <c r="F50" s="23"/>
      <c r="G50" s="23"/>
      <c r="H50" s="23"/>
      <c r="I50" s="23"/>
      <c r="J50" s="26"/>
    </row>
    <row r="51" spans="1:10" ht="42.75" customHeight="1">
      <c r="A51" s="43"/>
      <c r="B51" s="45"/>
      <c r="C51" s="45"/>
      <c r="D51" s="23"/>
      <c r="E51" s="23"/>
      <c r="F51" s="23"/>
      <c r="G51" s="23"/>
      <c r="H51" s="23"/>
      <c r="I51" s="23"/>
      <c r="J51" s="26"/>
    </row>
    <row r="52" spans="1:10" ht="42.75" customHeight="1">
      <c r="A52" s="43"/>
      <c r="B52" s="45"/>
      <c r="C52" s="45"/>
      <c r="D52" s="23"/>
      <c r="E52" s="23"/>
      <c r="F52" s="23"/>
      <c r="G52" s="23"/>
      <c r="H52" s="23"/>
      <c r="I52" s="23"/>
      <c r="J52" s="26"/>
    </row>
    <row r="53" spans="1:10" ht="42.75" customHeight="1">
      <c r="A53" s="43"/>
      <c r="B53" s="45"/>
      <c r="C53" s="45"/>
      <c r="D53" s="23"/>
      <c r="E53" s="23"/>
      <c r="F53" s="23"/>
      <c r="G53" s="23"/>
      <c r="H53" s="23"/>
      <c r="I53" s="23"/>
      <c r="J53" s="26"/>
    </row>
    <row r="54" spans="1:10" ht="42.75" customHeight="1">
      <c r="A54" s="43"/>
      <c r="B54" s="45"/>
      <c r="C54" s="45"/>
      <c r="D54" s="23"/>
      <c r="E54" s="23"/>
      <c r="F54" s="23"/>
      <c r="G54" s="23"/>
      <c r="H54" s="23"/>
      <c r="I54" s="23"/>
      <c r="J54" s="26"/>
    </row>
    <row r="55" spans="1:10" ht="42.75" customHeight="1">
      <c r="A55" s="43"/>
      <c r="B55" s="45"/>
      <c r="C55" s="45"/>
      <c r="D55" s="23"/>
      <c r="E55" s="23"/>
      <c r="F55" s="23"/>
      <c r="G55" s="23"/>
      <c r="H55" s="23"/>
      <c r="I55" s="23"/>
      <c r="J55" s="26"/>
    </row>
    <row r="56" spans="1:10" ht="42.75" customHeight="1">
      <c r="A56" s="43"/>
      <c r="B56" s="45"/>
      <c r="C56" s="45"/>
      <c r="D56" s="23"/>
      <c r="E56" s="23"/>
      <c r="F56" s="23"/>
      <c r="G56" s="23"/>
      <c r="H56" s="23"/>
      <c r="I56" s="23"/>
      <c r="J56" s="26"/>
    </row>
    <row r="57" spans="1:10" ht="42.75" customHeight="1">
      <c r="A57" s="43"/>
      <c r="B57" s="45"/>
      <c r="C57" s="45"/>
      <c r="D57" s="23"/>
      <c r="E57" s="23"/>
      <c r="F57" s="23"/>
      <c r="G57" s="23"/>
      <c r="H57" s="23"/>
      <c r="I57" s="23"/>
      <c r="J57" s="26"/>
    </row>
    <row r="58" spans="1:10" ht="42.75" customHeight="1">
      <c r="A58" s="43"/>
      <c r="B58" s="45"/>
      <c r="C58" s="45"/>
      <c r="D58" s="23"/>
      <c r="E58" s="23"/>
      <c r="F58" s="23"/>
      <c r="G58" s="23"/>
      <c r="H58" s="23"/>
      <c r="I58" s="23"/>
      <c r="J58" s="26"/>
    </row>
    <row r="59" spans="1:10" ht="42.75" customHeight="1">
      <c r="A59" s="43"/>
      <c r="B59" s="45"/>
      <c r="C59" s="45"/>
      <c r="D59" s="23"/>
      <c r="E59" s="23"/>
      <c r="F59" s="23"/>
      <c r="G59" s="23"/>
      <c r="H59" s="23"/>
      <c r="I59" s="23"/>
      <c r="J59" s="26"/>
    </row>
    <row r="60" spans="1:10" ht="42.75" customHeight="1">
      <c r="A60" s="43"/>
      <c r="B60" s="45"/>
      <c r="C60" s="45"/>
      <c r="D60" s="23"/>
      <c r="E60" s="23"/>
      <c r="F60" s="23"/>
      <c r="G60" s="23"/>
      <c r="H60" s="23"/>
      <c r="I60" s="23"/>
      <c r="J60" s="26"/>
    </row>
    <row r="61" spans="1:10" ht="42.75" customHeight="1">
      <c r="A61" s="43"/>
      <c r="B61" s="45"/>
      <c r="C61" s="45"/>
      <c r="D61" s="23"/>
      <c r="E61" s="23"/>
      <c r="F61" s="23"/>
      <c r="G61" s="23"/>
      <c r="H61" s="23"/>
      <c r="I61" s="23"/>
      <c r="J61" s="26"/>
    </row>
    <row r="62" spans="1:10" ht="42.75" customHeight="1">
      <c r="A62" s="43"/>
      <c r="B62" s="45"/>
      <c r="C62" s="45"/>
      <c r="D62" s="23"/>
      <c r="E62" s="23"/>
      <c r="F62" s="23"/>
      <c r="G62" s="23"/>
      <c r="H62" s="23"/>
      <c r="I62" s="23"/>
      <c r="J62" s="26"/>
    </row>
    <row r="63" spans="1:10" ht="42.75" customHeight="1">
      <c r="A63" s="43"/>
      <c r="B63" s="45"/>
      <c r="C63" s="45"/>
      <c r="D63" s="23"/>
      <c r="E63" s="23"/>
      <c r="F63" s="23"/>
      <c r="G63" s="23"/>
      <c r="H63" s="23"/>
      <c r="I63" s="23"/>
      <c r="J63" s="26"/>
    </row>
    <row r="64" spans="1:10" ht="42.75" customHeight="1">
      <c r="A64" s="43"/>
      <c r="B64" s="45"/>
      <c r="C64" s="45"/>
      <c r="D64" s="23"/>
      <c r="E64" s="23"/>
      <c r="F64" s="23"/>
      <c r="G64" s="23"/>
      <c r="H64" s="23"/>
      <c r="I64" s="23"/>
      <c r="J64" s="26"/>
    </row>
    <row r="65" spans="1:10" ht="42.75" customHeight="1">
      <c r="A65" s="43"/>
      <c r="B65" s="45"/>
      <c r="C65" s="45"/>
      <c r="D65" s="23"/>
      <c r="E65" s="23"/>
      <c r="F65" s="23"/>
      <c r="G65" s="23"/>
      <c r="H65" s="23"/>
      <c r="I65" s="23"/>
      <c r="J65" s="26"/>
    </row>
    <row r="66" spans="1:10" ht="42.75" customHeight="1">
      <c r="A66" s="43"/>
      <c r="B66" s="45"/>
      <c r="C66" s="45"/>
      <c r="D66" s="23"/>
      <c r="E66" s="23"/>
      <c r="F66" s="23"/>
      <c r="G66" s="23"/>
      <c r="H66" s="23"/>
      <c r="I66" s="23"/>
      <c r="J66" s="26"/>
    </row>
    <row r="67" spans="1:10" ht="42.75" customHeight="1">
      <c r="A67" s="43"/>
      <c r="B67" s="45"/>
      <c r="C67" s="45"/>
      <c r="D67" s="23"/>
      <c r="E67" s="23"/>
      <c r="F67" s="23"/>
      <c r="G67" s="23"/>
      <c r="H67" s="23"/>
      <c r="I67" s="23"/>
      <c r="J67" s="26"/>
    </row>
    <row r="68" spans="1:10" ht="42.75" customHeight="1">
      <c r="A68" s="43"/>
      <c r="B68" s="45"/>
      <c r="C68" s="45"/>
      <c r="D68" s="23"/>
      <c r="E68" s="23"/>
      <c r="F68" s="23"/>
      <c r="G68" s="23"/>
      <c r="H68" s="23"/>
      <c r="I68" s="23"/>
      <c r="J68" s="26"/>
    </row>
    <row r="69" spans="1:10" ht="42.75" customHeight="1">
      <c r="A69" s="43"/>
      <c r="B69" s="45"/>
      <c r="C69" s="45"/>
      <c r="D69" s="23"/>
      <c r="E69" s="23"/>
      <c r="F69" s="23"/>
      <c r="G69" s="23"/>
      <c r="H69" s="23"/>
      <c r="I69" s="23"/>
      <c r="J69" s="26"/>
    </row>
    <row r="70" spans="1:10" ht="42.75" customHeight="1">
      <c r="A70" s="43"/>
      <c r="B70" s="45"/>
      <c r="C70" s="45"/>
      <c r="D70" s="23"/>
      <c r="E70" s="23"/>
      <c r="F70" s="23"/>
      <c r="G70" s="23"/>
      <c r="H70" s="23"/>
      <c r="I70" s="23"/>
      <c r="J70" s="26"/>
    </row>
    <row r="71" spans="1:10" ht="42.75" customHeight="1">
      <c r="A71" s="43"/>
      <c r="B71" s="45"/>
      <c r="C71" s="45"/>
      <c r="D71" s="23"/>
      <c r="E71" s="23"/>
      <c r="F71" s="23"/>
      <c r="G71" s="23"/>
      <c r="H71" s="23"/>
      <c r="I71" s="23"/>
      <c r="J71" s="26"/>
    </row>
    <row r="72" spans="1:10" ht="42.75" customHeight="1">
      <c r="A72" s="43"/>
      <c r="B72" s="45"/>
      <c r="C72" s="45"/>
      <c r="D72" s="23"/>
      <c r="E72" s="23"/>
      <c r="F72" s="23"/>
      <c r="G72" s="23"/>
      <c r="H72" s="23"/>
      <c r="I72" s="23"/>
      <c r="J72" s="26"/>
    </row>
    <row r="73" spans="1:10" ht="42.75" customHeight="1">
      <c r="A73" s="43"/>
      <c r="B73" s="45"/>
      <c r="C73" s="45"/>
      <c r="D73" s="23"/>
      <c r="E73" s="23"/>
      <c r="F73" s="23"/>
      <c r="G73" s="23"/>
      <c r="H73" s="23"/>
      <c r="I73" s="23"/>
      <c r="J73" s="26"/>
    </row>
    <row r="74" spans="1:10" ht="42.75" customHeight="1">
      <c r="A74" s="43"/>
      <c r="B74" s="45"/>
      <c r="C74" s="45"/>
      <c r="D74" s="23"/>
      <c r="E74" s="23"/>
      <c r="F74" s="23"/>
      <c r="G74" s="23"/>
      <c r="H74" s="23"/>
      <c r="I74" s="23"/>
      <c r="J74" s="26"/>
    </row>
    <row r="75" spans="1:10" ht="42.75" customHeight="1">
      <c r="A75" s="43"/>
      <c r="B75" s="45"/>
      <c r="C75" s="45"/>
      <c r="D75" s="23"/>
      <c r="E75" s="23"/>
      <c r="F75" s="23"/>
      <c r="G75" s="23"/>
      <c r="H75" s="23"/>
      <c r="I75" s="23"/>
      <c r="J75" s="26"/>
    </row>
    <row r="76" spans="1:10" ht="42.75" customHeight="1">
      <c r="A76" s="43"/>
      <c r="B76" s="45"/>
      <c r="C76" s="45"/>
      <c r="D76" s="23"/>
      <c r="E76" s="23"/>
      <c r="F76" s="23"/>
      <c r="G76" s="23"/>
      <c r="H76" s="23"/>
      <c r="I76" s="23"/>
      <c r="J76" s="26"/>
    </row>
    <row r="77" spans="1:10" ht="42.75" customHeight="1">
      <c r="A77" s="43"/>
      <c r="B77" s="45"/>
      <c r="C77" s="45"/>
      <c r="D77" s="23"/>
      <c r="E77" s="23"/>
      <c r="F77" s="23"/>
      <c r="G77" s="23"/>
      <c r="H77" s="23"/>
      <c r="I77" s="23"/>
      <c r="J77" s="26"/>
    </row>
    <row r="78" spans="1:10" ht="42.75" customHeight="1">
      <c r="A78" s="43"/>
      <c r="B78" s="45"/>
      <c r="C78" s="45"/>
      <c r="D78" s="23"/>
      <c r="E78" s="23"/>
      <c r="F78" s="23"/>
      <c r="G78" s="23"/>
      <c r="H78" s="23"/>
      <c r="I78" s="23"/>
      <c r="J78" s="26"/>
    </row>
    <row r="79" spans="1:10" ht="42.75" customHeight="1">
      <c r="A79" s="43"/>
      <c r="B79" s="45"/>
      <c r="C79" s="45"/>
      <c r="D79" s="23"/>
      <c r="E79" s="23"/>
      <c r="F79" s="23"/>
      <c r="G79" s="23"/>
      <c r="H79" s="23"/>
      <c r="I79" s="23"/>
      <c r="J79" s="26"/>
    </row>
    <row r="80" spans="1:10" ht="42.75" customHeight="1">
      <c r="A80" s="43"/>
      <c r="B80" s="45"/>
      <c r="C80" s="45"/>
      <c r="D80" s="23"/>
      <c r="E80" s="23"/>
      <c r="F80" s="23"/>
      <c r="G80" s="23"/>
      <c r="H80" s="23"/>
      <c r="I80" s="23"/>
      <c r="J80" s="26"/>
    </row>
    <row r="81" spans="1:10" ht="42.75" customHeight="1">
      <c r="A81" s="43"/>
      <c r="B81" s="45"/>
      <c r="C81" s="45"/>
      <c r="D81" s="23"/>
      <c r="E81" s="23"/>
      <c r="F81" s="23"/>
      <c r="G81" s="23"/>
      <c r="H81" s="23"/>
      <c r="I81" s="23"/>
      <c r="J81" s="26"/>
    </row>
    <row r="82" spans="1:10" ht="42.75" customHeight="1">
      <c r="A82" s="43"/>
      <c r="B82" s="45"/>
      <c r="C82" s="45"/>
      <c r="D82" s="23"/>
      <c r="E82" s="23"/>
      <c r="F82" s="23"/>
      <c r="G82" s="23"/>
      <c r="H82" s="23"/>
      <c r="I82" s="23"/>
      <c r="J82" s="26"/>
    </row>
    <row r="83" spans="1:10" ht="42.75" customHeight="1">
      <c r="A83" s="43"/>
      <c r="B83" s="45"/>
      <c r="C83" s="45"/>
      <c r="D83" s="23"/>
      <c r="E83" s="23"/>
      <c r="F83" s="23"/>
      <c r="G83" s="23"/>
      <c r="H83" s="23"/>
      <c r="I83" s="23"/>
      <c r="J83" s="26"/>
    </row>
    <row r="84" spans="1:10" ht="42.75" customHeight="1">
      <c r="A84" s="43"/>
      <c r="B84" s="45"/>
      <c r="C84" s="45"/>
      <c r="D84" s="23"/>
      <c r="E84" s="23"/>
      <c r="F84" s="23"/>
      <c r="G84" s="23"/>
      <c r="H84" s="23"/>
      <c r="I84" s="23"/>
      <c r="J84" s="26"/>
    </row>
    <row r="85" spans="1:10" ht="42.75" customHeight="1">
      <c r="A85" s="43"/>
      <c r="B85" s="45"/>
      <c r="C85" s="45"/>
      <c r="D85" s="23"/>
      <c r="E85" s="23"/>
      <c r="F85" s="23"/>
      <c r="G85" s="23"/>
      <c r="H85" s="23"/>
      <c r="I85" s="23"/>
      <c r="J85" s="26"/>
    </row>
    <row r="86" spans="1:10" ht="42.75" customHeight="1">
      <c r="A86" s="43"/>
      <c r="B86" s="45"/>
      <c r="C86" s="45"/>
      <c r="D86" s="23"/>
      <c r="E86" s="23"/>
      <c r="F86" s="23"/>
      <c r="G86" s="23"/>
      <c r="H86" s="23"/>
      <c r="I86" s="23"/>
      <c r="J86" s="26"/>
    </row>
    <row r="87" spans="1:10" ht="42.75" customHeight="1">
      <c r="A87" s="43"/>
      <c r="B87" s="45"/>
      <c r="C87" s="45"/>
      <c r="D87" s="23"/>
      <c r="E87" s="23"/>
      <c r="F87" s="23"/>
      <c r="G87" s="23"/>
      <c r="H87" s="23"/>
      <c r="I87" s="23"/>
      <c r="J87" s="26"/>
    </row>
    <row r="88" spans="1:10" ht="42.75" customHeight="1">
      <c r="A88" s="43"/>
      <c r="B88" s="45"/>
      <c r="C88" s="45"/>
      <c r="D88" s="23"/>
      <c r="E88" s="23"/>
      <c r="F88" s="23"/>
      <c r="G88" s="23"/>
      <c r="H88" s="23"/>
      <c r="I88" s="23"/>
      <c r="J88" s="26"/>
    </row>
    <row r="89" spans="1:10" ht="42.75" customHeight="1">
      <c r="A89" s="43"/>
      <c r="B89" s="45"/>
      <c r="C89" s="45"/>
      <c r="D89" s="23"/>
      <c r="E89" s="23"/>
      <c r="F89" s="23"/>
      <c r="G89" s="23"/>
      <c r="H89" s="23"/>
      <c r="I89" s="23"/>
      <c r="J89" s="26"/>
    </row>
    <row r="90" spans="1:10" ht="42.75" customHeight="1">
      <c r="A90" s="43"/>
      <c r="B90" s="45"/>
      <c r="C90" s="45"/>
      <c r="D90" s="23"/>
      <c r="E90" s="23"/>
      <c r="F90" s="23"/>
      <c r="G90" s="23"/>
      <c r="H90" s="23"/>
      <c r="I90" s="23"/>
      <c r="J90" s="26"/>
    </row>
    <row r="91" spans="1:10" ht="42.75" customHeight="1">
      <c r="A91" s="43"/>
      <c r="B91" s="45"/>
      <c r="C91" s="45"/>
      <c r="D91" s="23"/>
      <c r="E91" s="23"/>
      <c r="F91" s="23"/>
      <c r="G91" s="23"/>
      <c r="H91" s="23"/>
      <c r="I91" s="23"/>
      <c r="J91" s="26"/>
    </row>
    <row r="92" spans="1:10" ht="42.75" customHeight="1">
      <c r="A92" s="43"/>
      <c r="B92" s="45"/>
      <c r="C92" s="45"/>
      <c r="D92" s="23"/>
      <c r="E92" s="23"/>
      <c r="F92" s="23"/>
      <c r="G92" s="23"/>
      <c r="H92" s="23"/>
      <c r="I92" s="23"/>
      <c r="J92" s="26"/>
    </row>
    <row r="93" spans="1:10" ht="42.75" customHeight="1">
      <c r="A93" s="43"/>
      <c r="B93" s="45"/>
      <c r="C93" s="45"/>
      <c r="D93" s="23"/>
      <c r="E93" s="23"/>
      <c r="F93" s="23"/>
      <c r="G93" s="23"/>
      <c r="H93" s="23"/>
      <c r="I93" s="23"/>
      <c r="J93" s="26"/>
    </row>
    <row r="94" spans="1:10" ht="42.75" customHeight="1">
      <c r="A94" s="43"/>
      <c r="B94" s="45"/>
      <c r="C94" s="45"/>
      <c r="D94" s="23"/>
      <c r="E94" s="23"/>
      <c r="F94" s="23"/>
      <c r="G94" s="23"/>
      <c r="H94" s="23"/>
      <c r="I94" s="23"/>
      <c r="J94" s="26"/>
    </row>
    <row r="95" spans="1:10" ht="42.75" customHeight="1">
      <c r="A95" s="43"/>
      <c r="B95" s="45"/>
      <c r="C95" s="45"/>
      <c r="D95" s="23"/>
      <c r="E95" s="23"/>
      <c r="F95" s="23"/>
      <c r="G95" s="23"/>
      <c r="H95" s="23"/>
      <c r="I95" s="23"/>
      <c r="J95" s="26"/>
    </row>
    <row r="96" spans="1:10" ht="42.75" customHeight="1">
      <c r="A96" s="43"/>
      <c r="B96" s="45"/>
      <c r="C96" s="45"/>
      <c r="D96" s="23"/>
      <c r="E96" s="23"/>
      <c r="F96" s="23"/>
      <c r="G96" s="23"/>
      <c r="H96" s="23"/>
      <c r="I96" s="23"/>
      <c r="J96" s="26"/>
    </row>
    <row r="97" spans="1:10" ht="42.75" customHeight="1">
      <c r="A97" s="43"/>
      <c r="B97" s="45"/>
      <c r="C97" s="45"/>
      <c r="D97" s="23"/>
      <c r="E97" s="23"/>
      <c r="F97" s="23"/>
      <c r="G97" s="23"/>
      <c r="H97" s="23"/>
      <c r="I97" s="23"/>
      <c r="J97" s="26"/>
    </row>
    <row r="98" spans="1:10" ht="42.75" customHeight="1">
      <c r="A98" s="43"/>
      <c r="B98" s="45"/>
      <c r="C98" s="45"/>
      <c r="D98" s="23"/>
      <c r="E98" s="23"/>
      <c r="F98" s="23"/>
      <c r="G98" s="23"/>
      <c r="H98" s="23"/>
      <c r="I98" s="23"/>
      <c r="J98" s="26"/>
    </row>
    <row r="99" spans="1:10" ht="42.75" customHeight="1">
      <c r="A99" s="43"/>
      <c r="B99" s="45"/>
      <c r="C99" s="45"/>
      <c r="D99" s="23"/>
      <c r="E99" s="23"/>
      <c r="F99" s="23"/>
      <c r="G99" s="23"/>
      <c r="H99" s="23"/>
      <c r="I99" s="23"/>
      <c r="J99" s="26"/>
    </row>
    <row r="100" spans="1:10" ht="42.75" customHeight="1">
      <c r="A100" s="44"/>
      <c r="B100" s="46"/>
      <c r="C100" s="46"/>
      <c r="D100" s="24"/>
      <c r="E100" s="24"/>
      <c r="F100" s="24"/>
      <c r="G100" s="24"/>
      <c r="H100" s="24"/>
      <c r="I100" s="24"/>
      <c r="J100" s="27"/>
    </row>
  </sheetData>
  <mergeCells count="2">
    <mergeCell ref="A1:J1"/>
    <mergeCell ref="A2:J2"/>
  </mergeCells>
  <conditionalFormatting sqref="F5:F100">
    <cfRule type="colorScale" priority="1">
      <colorScale>
        <cfvo type="min"/>
        <cfvo type="percentile" val="50"/>
        <cfvo type="max"/>
        <color rgb="FFF5B7B7"/>
        <color rgb="FFFFF1C9"/>
        <color rgb="FFBFE8CD"/>
      </colorScale>
    </cfRule>
  </conditionalFormatting>
  <dataValidations count="2">
    <dataValidation type="list" sqref="D5:D100" xr:uid="{00000000-0002-0000-0300-000000000000}">
      <formula1>"Запланировано,Пройдено,Перенесено"</formula1>
    </dataValidation>
    <dataValidation type="list" sqref="E5:E100" xr:uid="{00000000-0002-0000-0300-000001000000}">
      <formula1>"Короткий тест,Практика,Инженерный кейс,Комплексная контрольная"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"/>
  <sheetViews>
    <sheetView topLeftCell="A13" workbookViewId="0">
      <selection sqref="A1:H1"/>
    </sheetView>
  </sheetViews>
  <sheetFormatPr baseColWidth="10" defaultColWidth="8.83203125" defaultRowHeight="15"/>
  <cols>
    <col min="1" max="1" width="10" customWidth="1"/>
    <col min="2" max="2" width="23" customWidth="1"/>
    <col min="3" max="3" width="40" customWidth="1"/>
    <col min="4" max="4" width="34" customWidth="1"/>
    <col min="5" max="5" width="4" customWidth="1"/>
    <col min="6" max="6" width="11" customWidth="1"/>
    <col min="7" max="7" width="22" customWidth="1"/>
    <col min="8" max="8" width="38" customWidth="1"/>
  </cols>
  <sheetData>
    <row r="1" spans="1:8" ht="23">
      <c r="A1" s="84" t="s">
        <v>197</v>
      </c>
      <c r="B1" s="84"/>
      <c r="C1" s="84"/>
      <c r="D1" s="84"/>
      <c r="E1" s="84"/>
      <c r="F1" s="84"/>
      <c r="G1" s="84"/>
      <c r="H1" s="84"/>
    </row>
    <row r="3" spans="1:8">
      <c r="A3" s="86" t="s">
        <v>198</v>
      </c>
      <c r="B3" s="86"/>
      <c r="C3" s="86"/>
      <c r="D3" s="86"/>
      <c r="F3" s="86" t="s">
        <v>199</v>
      </c>
      <c r="G3" s="86"/>
      <c r="H3" s="86"/>
    </row>
    <row r="4" spans="1:8" ht="16">
      <c r="A4" s="12" t="s">
        <v>200</v>
      </c>
      <c r="B4" s="12" t="s">
        <v>201</v>
      </c>
      <c r="C4" s="12" t="s">
        <v>202</v>
      </c>
      <c r="D4" s="12" t="s">
        <v>203</v>
      </c>
      <c r="F4" s="12" t="s">
        <v>204</v>
      </c>
      <c r="G4" s="12" t="s">
        <v>201</v>
      </c>
      <c r="H4" s="12" t="s">
        <v>205</v>
      </c>
    </row>
    <row r="5" spans="1:8" ht="50.75" customHeight="1">
      <c r="A5" s="42">
        <v>0</v>
      </c>
      <c r="B5" s="22" t="s">
        <v>206</v>
      </c>
      <c r="C5" s="22" t="s">
        <v>207</v>
      </c>
      <c r="D5" s="25" t="s">
        <v>208</v>
      </c>
      <c r="F5" s="33">
        <v>0</v>
      </c>
      <c r="G5" s="34" t="s">
        <v>209</v>
      </c>
      <c r="H5" s="35" t="s">
        <v>210</v>
      </c>
    </row>
    <row r="6" spans="1:8" ht="50.75" customHeight="1">
      <c r="A6" s="43">
        <v>1</v>
      </c>
      <c r="B6" s="23" t="s">
        <v>211</v>
      </c>
      <c r="C6" s="23" t="s">
        <v>212</v>
      </c>
      <c r="D6" s="26" t="s">
        <v>213</v>
      </c>
      <c r="F6" s="36">
        <v>1</v>
      </c>
      <c r="G6" s="37" t="s">
        <v>214</v>
      </c>
      <c r="H6" s="38" t="s">
        <v>215</v>
      </c>
    </row>
    <row r="7" spans="1:8" ht="50.75" customHeight="1">
      <c r="A7" s="43">
        <v>2</v>
      </c>
      <c r="B7" s="23" t="s">
        <v>216</v>
      </c>
      <c r="C7" s="23" t="s">
        <v>217</v>
      </c>
      <c r="D7" s="26" t="s">
        <v>218</v>
      </c>
      <c r="F7" s="36">
        <v>2</v>
      </c>
      <c r="G7" s="37" t="s">
        <v>219</v>
      </c>
      <c r="H7" s="38" t="s">
        <v>220</v>
      </c>
    </row>
    <row r="8" spans="1:8" ht="50.75" customHeight="1">
      <c r="A8" s="43">
        <v>3</v>
      </c>
      <c r="B8" s="23" t="s">
        <v>221</v>
      </c>
      <c r="C8" s="23" t="s">
        <v>222</v>
      </c>
      <c r="D8" s="26" t="s">
        <v>223</v>
      </c>
      <c r="F8" s="39">
        <v>3</v>
      </c>
      <c r="G8" s="40" t="s">
        <v>224</v>
      </c>
      <c r="H8" s="41" t="s">
        <v>225</v>
      </c>
    </row>
    <row r="9" spans="1:8" ht="56" customHeight="1">
      <c r="A9" s="43">
        <v>4</v>
      </c>
      <c r="B9" s="23" t="s">
        <v>226</v>
      </c>
      <c r="C9" s="23" t="s">
        <v>227</v>
      </c>
      <c r="D9" s="26" t="s">
        <v>228</v>
      </c>
    </row>
    <row r="10" spans="1:8" ht="56" customHeight="1">
      <c r="A10" s="44">
        <v>5</v>
      </c>
      <c r="B10" s="24" t="s">
        <v>229</v>
      </c>
      <c r="C10" s="24" t="s">
        <v>230</v>
      </c>
      <c r="D10" s="27" t="s">
        <v>231</v>
      </c>
    </row>
    <row r="12" spans="1:8">
      <c r="A12" s="86" t="s">
        <v>232</v>
      </c>
      <c r="B12" s="86"/>
      <c r="C12" s="86"/>
      <c r="D12" s="86"/>
      <c r="E12" s="86"/>
      <c r="F12" s="86"/>
      <c r="G12" s="86"/>
      <c r="H12" s="86"/>
    </row>
    <row r="13" spans="1:8" ht="56" customHeight="1">
      <c r="A13" s="4" t="s">
        <v>10</v>
      </c>
      <c r="B13" s="7" t="s">
        <v>233</v>
      </c>
      <c r="C13" s="47" t="s">
        <v>234</v>
      </c>
    </row>
    <row r="14" spans="1:8" ht="56" customHeight="1">
      <c r="A14" s="5" t="s">
        <v>13</v>
      </c>
      <c r="B14" s="8" t="s">
        <v>235</v>
      </c>
      <c r="C14" s="48" t="s">
        <v>236</v>
      </c>
    </row>
    <row r="15" spans="1:8" ht="56" customHeight="1">
      <c r="A15" s="5" t="s">
        <v>16</v>
      </c>
      <c r="B15" s="8" t="s">
        <v>237</v>
      </c>
      <c r="C15" s="48" t="s">
        <v>238</v>
      </c>
    </row>
    <row r="16" spans="1:8" ht="56" customHeight="1">
      <c r="A16" s="5" t="s">
        <v>19</v>
      </c>
      <c r="B16" s="8" t="s">
        <v>239</v>
      </c>
      <c r="C16" s="48" t="s">
        <v>240</v>
      </c>
    </row>
    <row r="17" spans="1:8" ht="56" customHeight="1">
      <c r="A17" s="5" t="s">
        <v>22</v>
      </c>
      <c r="B17" s="8" t="s">
        <v>241</v>
      </c>
      <c r="C17" s="48" t="s">
        <v>242</v>
      </c>
    </row>
    <row r="18" spans="1:8" ht="56" customHeight="1">
      <c r="A18" s="6" t="s">
        <v>243</v>
      </c>
      <c r="B18" s="9" t="s">
        <v>244</v>
      </c>
      <c r="C18" s="49" t="s">
        <v>245</v>
      </c>
    </row>
    <row r="20" spans="1:8">
      <c r="A20" s="86" t="s">
        <v>246</v>
      </c>
      <c r="B20" s="86"/>
      <c r="C20" s="86"/>
      <c r="D20" s="86"/>
      <c r="E20" s="86"/>
      <c r="F20" s="86"/>
      <c r="G20" s="86"/>
      <c r="H20" s="86"/>
    </row>
    <row r="21" spans="1:8" ht="16">
      <c r="A21" s="12" t="s">
        <v>247</v>
      </c>
      <c r="B21" s="12" t="s">
        <v>248</v>
      </c>
      <c r="C21" s="12" t="s">
        <v>249</v>
      </c>
      <c r="D21" s="12" t="s">
        <v>250</v>
      </c>
    </row>
    <row r="22" spans="1:8">
      <c r="A22" s="33" t="s">
        <v>251</v>
      </c>
      <c r="B22" s="34" t="s">
        <v>252</v>
      </c>
      <c r="C22" s="34" t="s">
        <v>253</v>
      </c>
      <c r="D22" s="35" t="s">
        <v>254</v>
      </c>
    </row>
    <row r="23" spans="1:8">
      <c r="A23" s="36" t="s">
        <v>255</v>
      </c>
      <c r="B23" s="37" t="s">
        <v>256</v>
      </c>
      <c r="C23" s="37" t="s">
        <v>257</v>
      </c>
      <c r="D23" s="38" t="s">
        <v>258</v>
      </c>
    </row>
    <row r="24" spans="1:8" ht="29">
      <c r="A24" s="36" t="s">
        <v>259</v>
      </c>
      <c r="B24" s="37" t="s">
        <v>260</v>
      </c>
      <c r="C24" s="37" t="s">
        <v>261</v>
      </c>
      <c r="D24" s="38" t="s">
        <v>262</v>
      </c>
    </row>
    <row r="25" spans="1:8">
      <c r="A25" s="36" t="s">
        <v>263</v>
      </c>
      <c r="B25" s="37" t="s">
        <v>264</v>
      </c>
      <c r="C25" s="37" t="s">
        <v>265</v>
      </c>
      <c r="D25" s="38" t="s">
        <v>266</v>
      </c>
    </row>
    <row r="26" spans="1:8" ht="29">
      <c r="A26" s="36" t="s">
        <v>267</v>
      </c>
      <c r="B26" s="37" t="s">
        <v>7</v>
      </c>
      <c r="C26" s="37" t="s">
        <v>268</v>
      </c>
      <c r="D26" s="38" t="s">
        <v>269</v>
      </c>
    </row>
    <row r="27" spans="1:8" ht="29">
      <c r="A27" s="39" t="s">
        <v>270</v>
      </c>
      <c r="B27" s="40" t="s">
        <v>184</v>
      </c>
      <c r="C27" s="40" t="s">
        <v>271</v>
      </c>
      <c r="D27" s="41" t="s">
        <v>272</v>
      </c>
    </row>
  </sheetData>
  <mergeCells count="5">
    <mergeCell ref="A1:H1"/>
    <mergeCell ref="A3:D3"/>
    <mergeCell ref="F3:H3"/>
    <mergeCell ref="A12:H12"/>
    <mergeCell ref="A20:H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tabSelected="1" workbookViewId="0">
      <selection activeCell="C5" sqref="C5:D5"/>
    </sheetView>
  </sheetViews>
  <sheetFormatPr baseColWidth="10" defaultColWidth="8.83203125" defaultRowHeight="15"/>
  <cols>
    <col min="1" max="1" width="7" customWidth="1"/>
    <col min="2" max="2" width="12" customWidth="1"/>
    <col min="3" max="3" width="30" customWidth="1"/>
    <col min="4" max="4" width="62" customWidth="1"/>
    <col min="5" max="5" width="11" customWidth="1"/>
    <col min="6" max="6" width="12" customWidth="1"/>
    <col min="7" max="7" width="15" customWidth="1"/>
    <col min="8" max="8" width="12" customWidth="1"/>
  </cols>
  <sheetData>
    <row r="1" spans="1:8">
      <c r="A1" s="101" t="s">
        <v>273</v>
      </c>
      <c r="B1" s="101"/>
      <c r="C1" s="101"/>
      <c r="D1" s="101"/>
      <c r="E1" s="101"/>
      <c r="F1" s="101"/>
      <c r="G1" s="101"/>
      <c r="H1" s="101"/>
    </row>
    <row r="2" spans="1:8">
      <c r="A2" s="101"/>
      <c r="B2" s="101"/>
      <c r="C2" s="101"/>
      <c r="D2" s="101"/>
      <c r="E2" s="101"/>
      <c r="F2" s="101"/>
      <c r="G2" s="101"/>
      <c r="H2" s="101"/>
    </row>
    <row r="4" spans="1:8" ht="16">
      <c r="A4" s="55" t="s">
        <v>274</v>
      </c>
      <c r="B4" s="55" t="s">
        <v>35</v>
      </c>
      <c r="C4" s="55" t="s">
        <v>11</v>
      </c>
      <c r="D4" s="55" t="s">
        <v>275</v>
      </c>
      <c r="E4" s="55" t="s">
        <v>276</v>
      </c>
      <c r="F4" s="55" t="s">
        <v>277</v>
      </c>
      <c r="G4" s="55" t="s">
        <v>37</v>
      </c>
      <c r="H4" s="55" t="s">
        <v>278</v>
      </c>
    </row>
    <row r="5" spans="1:8" ht="64" customHeight="1">
      <c r="A5" s="56">
        <v>1</v>
      </c>
      <c r="B5" s="56" t="s">
        <v>55</v>
      </c>
      <c r="C5" s="56" t="s">
        <v>56</v>
      </c>
      <c r="D5" s="56" t="s">
        <v>279</v>
      </c>
      <c r="E5" s="56">
        <v>150</v>
      </c>
      <c r="F5" s="56">
        <v>100</v>
      </c>
      <c r="G5" s="58" t="s">
        <v>57</v>
      </c>
      <c r="H5" s="57">
        <v>24.75</v>
      </c>
    </row>
    <row r="6" spans="1:8" ht="64" customHeight="1">
      <c r="A6" s="56">
        <v>2</v>
      </c>
      <c r="B6" s="56" t="s">
        <v>60</v>
      </c>
      <c r="C6" s="56" t="s">
        <v>61</v>
      </c>
      <c r="D6" s="56" t="s">
        <v>63</v>
      </c>
      <c r="E6" s="56">
        <v>150</v>
      </c>
      <c r="F6" s="56">
        <v>100</v>
      </c>
      <c r="G6" s="56" t="s">
        <v>62</v>
      </c>
      <c r="H6" s="56"/>
    </row>
    <row r="7" spans="1:8" ht="64" customHeight="1">
      <c r="A7" s="56">
        <v>3</v>
      </c>
      <c r="B7" s="56" t="s">
        <v>64</v>
      </c>
      <c r="C7" s="56" t="s">
        <v>65</v>
      </c>
      <c r="D7" s="56" t="s">
        <v>66</v>
      </c>
      <c r="E7" s="56">
        <v>150</v>
      </c>
      <c r="F7" s="56">
        <v>100</v>
      </c>
      <c r="G7" s="56" t="s">
        <v>62</v>
      </c>
      <c r="H7" s="56"/>
    </row>
    <row r="8" spans="1:8" ht="64" customHeight="1">
      <c r="A8" s="56">
        <v>4</v>
      </c>
      <c r="B8" s="56" t="s">
        <v>67</v>
      </c>
      <c r="C8" s="56" t="s">
        <v>68</v>
      </c>
      <c r="D8" s="56" t="s">
        <v>69</v>
      </c>
      <c r="E8" s="56">
        <v>165</v>
      </c>
      <c r="F8" s="56">
        <v>100</v>
      </c>
      <c r="G8" s="56" t="s">
        <v>62</v>
      </c>
      <c r="H8" s="56"/>
    </row>
    <row r="9" spans="1:8" ht="64" customHeight="1">
      <c r="A9" s="56">
        <v>5</v>
      </c>
      <c r="B9" s="56" t="s">
        <v>70</v>
      </c>
      <c r="C9" s="56" t="s">
        <v>71</v>
      </c>
      <c r="D9" s="56" t="s">
        <v>72</v>
      </c>
      <c r="E9" s="56">
        <v>150</v>
      </c>
      <c r="F9" s="56">
        <v>100</v>
      </c>
      <c r="G9" s="56" t="s">
        <v>62</v>
      </c>
      <c r="H9" s="56"/>
    </row>
    <row r="10" spans="1:8" ht="64" customHeight="1">
      <c r="A10" s="56">
        <v>6</v>
      </c>
      <c r="B10" s="56" t="s">
        <v>73</v>
      </c>
      <c r="C10" s="56" t="s">
        <v>74</v>
      </c>
      <c r="D10" s="56" t="s">
        <v>75</v>
      </c>
      <c r="E10" s="56">
        <v>180</v>
      </c>
      <c r="F10" s="56">
        <v>100</v>
      </c>
      <c r="G10" s="56" t="s">
        <v>62</v>
      </c>
      <c r="H10" s="56"/>
    </row>
    <row r="11" spans="1:8" ht="64" customHeight="1">
      <c r="A11" s="56">
        <v>7</v>
      </c>
      <c r="B11" s="56" t="s">
        <v>76</v>
      </c>
      <c r="C11" s="56" t="s">
        <v>77</v>
      </c>
      <c r="D11" s="56" t="s">
        <v>78</v>
      </c>
      <c r="E11" s="56">
        <v>165</v>
      </c>
      <c r="F11" s="56">
        <v>100</v>
      </c>
      <c r="G11" s="56" t="s">
        <v>62</v>
      </c>
      <c r="H11" s="56"/>
    </row>
  </sheetData>
  <mergeCells count="1">
    <mergeCell ref="A1:H2"/>
  </mergeCells>
  <conditionalFormatting sqref="H5">
    <cfRule type="colorScale" priority="1">
      <colorScale>
        <cfvo type="min"/>
        <cfvo type="percentile" val="50"/>
        <cfvo type="max"/>
        <color rgb="FFF5B7B7"/>
        <color rgb="FFFFF1C9"/>
        <color rgb="FFBFE8CD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2"/>
  <sheetViews>
    <sheetView workbookViewId="0"/>
  </sheetViews>
  <sheetFormatPr baseColWidth="10" defaultColWidth="8.83203125" defaultRowHeight="15"/>
  <cols>
    <col min="1" max="1" width="10" customWidth="1"/>
    <col min="2" max="2" width="18" customWidth="1"/>
    <col min="3" max="3" width="14" customWidth="1"/>
    <col min="4" max="4" width="13" customWidth="1"/>
    <col min="5" max="5" width="18" customWidth="1"/>
    <col min="6" max="7" width="34" customWidth="1"/>
    <col min="8" max="8" width="38" customWidth="1"/>
  </cols>
  <sheetData>
    <row r="1" spans="1:8">
      <c r="A1" s="102" t="s">
        <v>280</v>
      </c>
      <c r="B1" s="102"/>
      <c r="C1" s="102"/>
      <c r="D1" s="102"/>
      <c r="E1" s="102"/>
      <c r="F1" s="102"/>
      <c r="G1" s="102"/>
      <c r="H1" s="102"/>
    </row>
    <row r="2" spans="1:8">
      <c r="A2" s="102"/>
      <c r="B2" s="102"/>
      <c r="C2" s="102"/>
      <c r="D2" s="102"/>
      <c r="E2" s="102"/>
      <c r="F2" s="102"/>
      <c r="G2" s="102"/>
      <c r="H2" s="102"/>
    </row>
    <row r="3" spans="1:8">
      <c r="A3" s="103" t="s">
        <v>281</v>
      </c>
      <c r="B3" s="103"/>
      <c r="C3" s="103"/>
      <c r="D3" s="103"/>
      <c r="E3" s="103"/>
      <c r="F3" s="103"/>
      <c r="G3" s="103"/>
      <c r="H3" s="103"/>
    </row>
    <row r="5" spans="1:8" ht="16">
      <c r="A5" s="59" t="s">
        <v>247</v>
      </c>
      <c r="B5" s="59" t="s">
        <v>282</v>
      </c>
      <c r="C5" s="59" t="s">
        <v>283</v>
      </c>
      <c r="D5" s="59" t="s">
        <v>284</v>
      </c>
      <c r="E5" s="59" t="s">
        <v>285</v>
      </c>
      <c r="F5" s="59" t="s">
        <v>286</v>
      </c>
      <c r="G5" s="59" t="s">
        <v>287</v>
      </c>
      <c r="H5" s="59" t="s">
        <v>288</v>
      </c>
    </row>
    <row r="6" spans="1:8" ht="117.25" customHeight="1">
      <c r="A6" s="60" t="s">
        <v>289</v>
      </c>
      <c r="B6" s="61">
        <v>20</v>
      </c>
      <c r="C6" s="61">
        <v>14</v>
      </c>
      <c r="D6" s="69">
        <v>70</v>
      </c>
      <c r="E6" s="61" t="s">
        <v>290</v>
      </c>
      <c r="F6" s="61" t="s">
        <v>291</v>
      </c>
      <c r="G6" s="61" t="s">
        <v>292</v>
      </c>
      <c r="H6" s="62" t="s">
        <v>293</v>
      </c>
    </row>
    <row r="7" spans="1:8" ht="117.25" customHeight="1">
      <c r="A7" s="63" t="s">
        <v>294</v>
      </c>
      <c r="B7" s="64">
        <v>20</v>
      </c>
      <c r="C7" s="64">
        <v>2</v>
      </c>
      <c r="D7" s="70">
        <v>10</v>
      </c>
      <c r="E7" s="64" t="s">
        <v>295</v>
      </c>
      <c r="F7" s="64" t="s">
        <v>296</v>
      </c>
      <c r="G7" s="64" t="s">
        <v>297</v>
      </c>
      <c r="H7" s="65" t="s">
        <v>298</v>
      </c>
    </row>
    <row r="8" spans="1:8" ht="117.25" customHeight="1">
      <c r="A8" s="63" t="s">
        <v>299</v>
      </c>
      <c r="B8" s="64">
        <v>20</v>
      </c>
      <c r="C8" s="64">
        <v>2.5</v>
      </c>
      <c r="D8" s="70">
        <v>12.5</v>
      </c>
      <c r="E8" s="64" t="s">
        <v>295</v>
      </c>
      <c r="F8" s="64" t="s">
        <v>300</v>
      </c>
      <c r="G8" s="64" t="s">
        <v>301</v>
      </c>
      <c r="H8" s="65" t="s">
        <v>302</v>
      </c>
    </row>
    <row r="9" spans="1:8" ht="117.25" customHeight="1">
      <c r="A9" s="63" t="s">
        <v>303</v>
      </c>
      <c r="B9" s="64">
        <v>20</v>
      </c>
      <c r="C9" s="64">
        <v>5.25</v>
      </c>
      <c r="D9" s="70">
        <v>26.25</v>
      </c>
      <c r="E9" s="64" t="s">
        <v>304</v>
      </c>
      <c r="F9" s="64" t="s">
        <v>305</v>
      </c>
      <c r="G9" s="64" t="s">
        <v>306</v>
      </c>
      <c r="H9" s="65" t="s">
        <v>307</v>
      </c>
    </row>
    <row r="10" spans="1:8" ht="117.25" customHeight="1">
      <c r="A10" s="66" t="s">
        <v>308</v>
      </c>
      <c r="B10" s="67">
        <v>20</v>
      </c>
      <c r="C10" s="67">
        <v>1</v>
      </c>
      <c r="D10" s="71">
        <v>5</v>
      </c>
      <c r="E10" s="67" t="s">
        <v>309</v>
      </c>
      <c r="F10" s="67" t="s">
        <v>310</v>
      </c>
      <c r="G10" s="67" t="s">
        <v>311</v>
      </c>
      <c r="H10" s="68" t="s">
        <v>312</v>
      </c>
    </row>
    <row r="12" spans="1:8">
      <c r="A12" s="104" t="s">
        <v>313</v>
      </c>
      <c r="B12" s="104"/>
      <c r="C12" s="104"/>
      <c r="D12" s="104"/>
      <c r="E12" s="104"/>
      <c r="F12" s="104"/>
      <c r="G12" s="104"/>
      <c r="H12" s="104"/>
    </row>
    <row r="13" spans="1:8" ht="19">
      <c r="A13" s="72" t="s">
        <v>314</v>
      </c>
      <c r="B13" s="76">
        <v>24.75</v>
      </c>
      <c r="D13" s="105" t="s">
        <v>315</v>
      </c>
      <c r="E13" s="106"/>
      <c r="F13" s="106"/>
      <c r="G13" s="106"/>
      <c r="H13" s="107"/>
    </row>
    <row r="14" spans="1:8" ht="19">
      <c r="A14" s="73" t="s">
        <v>316</v>
      </c>
      <c r="B14" s="77">
        <v>0.8</v>
      </c>
      <c r="D14" s="108"/>
      <c r="E14" s="109"/>
      <c r="F14" s="109"/>
      <c r="G14" s="109"/>
      <c r="H14" s="110"/>
    </row>
    <row r="15" spans="1:8" ht="19">
      <c r="A15" s="74" t="s">
        <v>317</v>
      </c>
      <c r="B15" s="75" t="s">
        <v>318</v>
      </c>
      <c r="D15" s="111"/>
      <c r="E15" s="112"/>
      <c r="F15" s="112"/>
      <c r="G15" s="112"/>
      <c r="H15" s="113"/>
    </row>
    <row r="17" spans="1:8">
      <c r="A17" s="104" t="s">
        <v>319</v>
      </c>
      <c r="B17" s="104"/>
      <c r="C17" s="104"/>
      <c r="D17" s="104"/>
      <c r="E17" s="104"/>
      <c r="F17" s="104"/>
      <c r="G17" s="104"/>
      <c r="H17" s="104"/>
    </row>
    <row r="18" spans="1:8" ht="72" customHeight="1">
      <c r="A18" s="78" t="s">
        <v>10</v>
      </c>
      <c r="B18" s="114" t="s">
        <v>320</v>
      </c>
      <c r="C18" s="115"/>
      <c r="D18" s="116" t="s">
        <v>321</v>
      </c>
      <c r="E18" s="117"/>
      <c r="F18" s="117"/>
      <c r="G18" s="117"/>
      <c r="H18" s="118"/>
    </row>
    <row r="19" spans="1:8" ht="72" customHeight="1">
      <c r="A19" s="78" t="s">
        <v>13</v>
      </c>
      <c r="B19" s="114" t="s">
        <v>322</v>
      </c>
      <c r="C19" s="115"/>
      <c r="D19" s="116" t="s">
        <v>323</v>
      </c>
      <c r="E19" s="117"/>
      <c r="F19" s="117"/>
      <c r="G19" s="117"/>
      <c r="H19" s="118"/>
    </row>
    <row r="20" spans="1:8" ht="72" customHeight="1">
      <c r="A20" s="78" t="s">
        <v>16</v>
      </c>
      <c r="B20" s="114" t="s">
        <v>324</v>
      </c>
      <c r="C20" s="115"/>
      <c r="D20" s="116" t="s">
        <v>325</v>
      </c>
      <c r="E20" s="117"/>
      <c r="F20" s="117"/>
      <c r="G20" s="117"/>
      <c r="H20" s="118"/>
    </row>
    <row r="21" spans="1:8" ht="72" customHeight="1">
      <c r="A21" s="78" t="s">
        <v>19</v>
      </c>
      <c r="B21" s="114" t="s">
        <v>326</v>
      </c>
      <c r="C21" s="115"/>
      <c r="D21" s="116" t="s">
        <v>327</v>
      </c>
      <c r="E21" s="117"/>
      <c r="F21" s="117"/>
      <c r="G21" s="117"/>
      <c r="H21" s="118"/>
    </row>
    <row r="22" spans="1:8" ht="72" customHeight="1">
      <c r="A22" s="78" t="s">
        <v>22</v>
      </c>
      <c r="B22" s="114" t="s">
        <v>328</v>
      </c>
      <c r="C22" s="115"/>
      <c r="D22" s="116" t="s">
        <v>329</v>
      </c>
      <c r="E22" s="117"/>
      <c r="F22" s="117"/>
      <c r="G22" s="117"/>
      <c r="H22" s="118"/>
    </row>
    <row r="24" spans="1:8">
      <c r="A24" s="104" t="s">
        <v>330</v>
      </c>
      <c r="B24" s="104"/>
      <c r="C24" s="104"/>
      <c r="D24" s="104"/>
      <c r="E24" s="104"/>
      <c r="F24" s="104"/>
      <c r="G24" s="104"/>
      <c r="H24" s="104"/>
    </row>
    <row r="25" spans="1:8" ht="16">
      <c r="A25" s="80" t="s">
        <v>34</v>
      </c>
      <c r="B25" s="119" t="s">
        <v>331</v>
      </c>
      <c r="C25" s="119"/>
      <c r="D25" s="81" t="s">
        <v>93</v>
      </c>
      <c r="E25" s="119" t="s">
        <v>332</v>
      </c>
      <c r="F25" s="119"/>
      <c r="G25" s="119"/>
      <c r="H25" s="120"/>
    </row>
    <row r="26" spans="1:8" ht="61.25" customHeight="1">
      <c r="A26" s="79">
        <v>1</v>
      </c>
      <c r="B26" s="117" t="s">
        <v>333</v>
      </c>
      <c r="C26" s="121"/>
      <c r="D26" s="82" t="s">
        <v>103</v>
      </c>
      <c r="E26" s="117" t="s">
        <v>334</v>
      </c>
      <c r="F26" s="117"/>
      <c r="G26" s="117"/>
      <c r="H26" s="118"/>
    </row>
    <row r="27" spans="1:8" ht="61.25" customHeight="1">
      <c r="A27" s="79">
        <v>2</v>
      </c>
      <c r="B27" s="117" t="s">
        <v>183</v>
      </c>
      <c r="C27" s="121"/>
      <c r="D27" s="82" t="s">
        <v>103</v>
      </c>
      <c r="E27" s="117" t="s">
        <v>335</v>
      </c>
      <c r="F27" s="117"/>
      <c r="G27" s="117"/>
      <c r="H27" s="118"/>
    </row>
    <row r="28" spans="1:8" ht="61.25" customHeight="1">
      <c r="A28" s="79">
        <v>3</v>
      </c>
      <c r="B28" s="117" t="s">
        <v>336</v>
      </c>
      <c r="C28" s="121"/>
      <c r="D28" s="82" t="s">
        <v>103</v>
      </c>
      <c r="E28" s="117" t="s">
        <v>337</v>
      </c>
      <c r="F28" s="117"/>
      <c r="G28" s="117"/>
      <c r="H28" s="118"/>
    </row>
    <row r="29" spans="1:8" ht="61.25" customHeight="1">
      <c r="A29" s="79">
        <v>4</v>
      </c>
      <c r="B29" s="117" t="s">
        <v>187</v>
      </c>
      <c r="C29" s="121"/>
      <c r="D29" s="82" t="s">
        <v>103</v>
      </c>
      <c r="E29" s="117" t="s">
        <v>338</v>
      </c>
      <c r="F29" s="117"/>
      <c r="G29" s="117"/>
      <c r="H29" s="118"/>
    </row>
    <row r="30" spans="1:8" ht="61.25" customHeight="1">
      <c r="A30" s="79">
        <v>5</v>
      </c>
      <c r="B30" s="117" t="s">
        <v>339</v>
      </c>
      <c r="C30" s="121"/>
      <c r="D30" s="82" t="s">
        <v>103</v>
      </c>
      <c r="E30" s="117" t="s">
        <v>340</v>
      </c>
      <c r="F30" s="117"/>
      <c r="G30" s="117"/>
      <c r="H30" s="118"/>
    </row>
    <row r="31" spans="1:8" ht="61.25" customHeight="1">
      <c r="A31" s="79">
        <v>6</v>
      </c>
      <c r="B31" s="117" t="s">
        <v>341</v>
      </c>
      <c r="C31" s="121"/>
      <c r="D31" s="82" t="s">
        <v>103</v>
      </c>
      <c r="E31" s="117" t="s">
        <v>342</v>
      </c>
      <c r="F31" s="117"/>
      <c r="G31" s="117"/>
      <c r="H31" s="118"/>
    </row>
    <row r="32" spans="1:8" ht="61.25" customHeight="1">
      <c r="A32" s="79">
        <v>7</v>
      </c>
      <c r="B32" s="117" t="s">
        <v>343</v>
      </c>
      <c r="C32" s="122"/>
      <c r="D32" s="83" t="s">
        <v>134</v>
      </c>
      <c r="E32" s="117" t="s">
        <v>344</v>
      </c>
      <c r="F32" s="117"/>
      <c r="G32" s="117"/>
      <c r="H32" s="118"/>
    </row>
  </sheetData>
  <mergeCells count="32">
    <mergeCell ref="B31:C31"/>
    <mergeCell ref="E31:H31"/>
    <mergeCell ref="B32:C32"/>
    <mergeCell ref="E32:H32"/>
    <mergeCell ref="B28:C28"/>
    <mergeCell ref="E28:H28"/>
    <mergeCell ref="B29:C29"/>
    <mergeCell ref="E29:H29"/>
    <mergeCell ref="B30:C30"/>
    <mergeCell ref="E30:H30"/>
    <mergeCell ref="B25:C25"/>
    <mergeCell ref="E25:H25"/>
    <mergeCell ref="B26:C26"/>
    <mergeCell ref="E26:H26"/>
    <mergeCell ref="B27:C27"/>
    <mergeCell ref="E27:H27"/>
    <mergeCell ref="A24:H24"/>
    <mergeCell ref="B18:C18"/>
    <mergeCell ref="D18:H18"/>
    <mergeCell ref="B19:C19"/>
    <mergeCell ref="D19:H19"/>
    <mergeCell ref="B20:C20"/>
    <mergeCell ref="D20:H20"/>
    <mergeCell ref="B21:C21"/>
    <mergeCell ref="D21:H21"/>
    <mergeCell ref="B22:C22"/>
    <mergeCell ref="D22:H22"/>
    <mergeCell ref="A1:H2"/>
    <mergeCell ref="A3:H3"/>
    <mergeCell ref="A12:H12"/>
    <mergeCell ref="D13:H15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Dashboard</vt:lpstr>
      <vt:lpstr>Exams</vt:lpstr>
      <vt:lpstr>Competency_Map</vt:lpstr>
      <vt:lpstr>Review_Log</vt:lpstr>
      <vt:lpstr>Scoring_Rules</vt:lpstr>
      <vt:lpstr>Assessment_Plan</vt:lpstr>
      <vt:lpstr>Exam_01_Review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Поляков Павел Романович</cp:lastModifiedBy>
  <dcterms:created xsi:type="dcterms:W3CDTF">2026-08-17T18:33:41Z</dcterms:created>
  <dcterms:modified xsi:type="dcterms:W3CDTF">2026-08-17T18:33:41Z</dcterms:modified>
</cp:coreProperties>
</file>