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5c8711f95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f0087050fee41b2"/>
    <x:sheet xmlns:r="http://schemas.openxmlformats.org/officeDocument/2006/relationships" name="Exams" sheetId="2" r:id="R4fcd5505f73b44ae"/>
    <x:sheet xmlns:r="http://schemas.openxmlformats.org/officeDocument/2006/relationships" name="Competency_Map" sheetId="3" r:id="Raf3ee3ca74a3456e"/>
    <x:sheet xmlns:r="http://schemas.openxmlformats.org/officeDocument/2006/relationships" name="Review_Log" sheetId="4" r:id="R4dcb8a45df9144ea"/>
    <x:sheet xmlns:r="http://schemas.openxmlformats.org/officeDocument/2006/relationships" name="Scoring_Rules" sheetId="5" r:id="R162a76b5a43b473e"/>
    <x:sheet xmlns:r="http://schemas.openxmlformats.org/officeDocument/2006/relationships" name="Assessment_Plan" sheetId="6" r:id="R4e9b395e7e624cc9"/>
    <x:sheet xmlns:r="http://schemas.openxmlformats.org/officeDocument/2006/relationships" name="Exam_01_Review" sheetId="7" r:id="Re272e2712f24428b"/>
    <x:sheet xmlns:r="http://schemas.openxmlformats.org/officeDocument/2006/relationships" name="Exam_02_Review" sheetId="8" r:id="R9699a576020d41d9"/>
    <x:sheet xmlns:r="http://schemas.openxmlformats.org/officeDocument/2006/relationships" name="Exam_03_Review" sheetId="9" r:id="Rf902f5e333834a3d"/>
    <x:sheet xmlns:r="http://schemas.openxmlformats.org/officeDocument/2006/relationships" name="Exam_04_Review" sheetId="10" r:id="R9b16fed5d43d4669"/>
  </x:sheets>
</x:workbook>
</file>

<file path=xl/sharedStrings.xml><?xml version="1.0" encoding="utf-8"?>
<x:sst xmlns:x="http://schemas.openxmlformats.org/spreadsheetml/2006/main">
  <x:si>
    <x:t xml:space="preserve">ASSESSMENT WEEK · стартовая диагностика</x:t>
  </x:si>
  <x:si>
    <x:t xml:space="preserve">Цель недели: честно определить текущие знания и практическую самостоятельность до построения основной программы обучения.</x:t>
  </x:si>
  <x:si>
    <x:t xml:space="preserve">Сводка недели</x:t>
  </x:si>
  <x:si>
    <x:t xml:space="preserve">Запланировано</x:t>
  </x:si>
  <x:si>
    <x:t xml:space="preserve">Завершено</x:t>
  </x:si>
  <x:si>
    <x:t xml:space="preserve">Средний балл</x:t>
  </x:si>
  <x:si>
    <x:t xml:space="preserve">Средний ранг</x:t>
  </x:si>
  <x:si>
    <x:t xml:space="preserve">Практика</x:t>
  </x:si>
  <x:si>
    <x:t xml:space="preserve">Контрольные повторы</x:t>
  </x:si>
  <x:si>
    <x:t xml:space="preserve">Как работает Assessment Week</x:t>
  </x:si>
  <x:si>
    <x:t xml:space="preserve">1</x:t>
  </x:si>
  <x:si>
    <x:t xml:space="preserve">Экзамен</x:t>
  </x:si>
  <x:si>
    <x:t xml:space="preserve">Решаешь без ИИ и интернета; «не знаю» — нормальный и полезный ответ.</x:t>
  </x:si>
  <x:si>
    <x:t xml:space="preserve">2</x:t>
  </x:si>
  <x:si>
    <x:t xml:space="preserve">Самооценка</x:t>
  </x:si>
  <x:si>
    <x:t xml:space="preserve">Ставишь уверенность 0–3: от «не уверен» до «уверен».</x:t>
  </x:si>
  <x:si>
    <x:t xml:space="preserve">3</x:t>
  </x:si>
  <x:si>
    <x:t xml:space="preserve">Разбор</x:t>
  </x:si>
  <x:si>
    <x:t xml:space="preserve">Я строго оцениваю теорию, применение, практику и инженерное мышление.</x:t>
  </x:si>
  <x:si>
    <x:t xml:space="preserve">4</x:t>
  </x:si>
  <x:si>
    <x:t xml:space="preserve">Ранги</x:t>
  </x:si>
  <x:si>
    <x:t xml:space="preserve">Повышение только за доказанный навык, а не за просмотренный материал.</x:t>
  </x:si>
  <x:si>
    <x:t xml:space="preserve">5</x:t>
  </x:si>
  <x:si>
    <x:t xml:space="preserve">Итог недели</x:t>
  </x:si>
  <x:si>
    <x:t xml:space="preserve">Сводим сильные стороны, пробелы и приоритеты в карту компетенций.</x:t>
  </x:si>
  <x:si>
    <x:t xml:space="preserve">Динамика результатов по экзаменам</x:t>
  </x:si>
  <x:si>
    <x:t xml:space="preserve">Экзамен 1</x:t>
  </x:si>
  <x:si>
    <x:t xml:space="preserve">Экзамен 2</x:t>
  </x:si>
  <x:si>
    <x:t xml:space="preserve">Экзамен 3</x:t>
  </x:si>
  <x:si>
    <x:t xml:space="preserve">Экзамен 4</x:t>
  </x:si>
  <x:si>
    <x:t xml:space="preserve">Экзамен 5</x:t>
  </x:si>
  <x:si>
    <x:t xml:space="preserve">Экзамен 6</x:t>
  </x:si>
  <x:si>
    <x:t xml:space="preserve">Экзамен 7</x:t>
  </x:si>
  <x:si>
    <x:t xml:space="preserve">Экзамены Assessment Week</x:t>
  </x:si>
  <x:si>
    <x:t xml:space="preserve">№</x:t>
  </x:si>
  <x:si>
    <x:t xml:space="preserve">Дата</x:t>
  </x:si>
  <x:si>
    <x:t xml:space="preserve">Тема / область</x:t>
  </x:si>
  <x:si>
    <x:t xml:space="preserve">Статус</x:t>
  </x:si>
  <x:si>
    <x:t xml:space="preserve">Время, мин</x:t>
  </x:si>
  <x:si>
    <x:t xml:space="preserve">Тест, баллы</x:t>
  </x:si>
  <x:si>
    <x:t xml:space="preserve">Тест, макс</x:t>
  </x:si>
  <x:si>
    <x:t xml:space="preserve">Открытые, баллы</x:t>
  </x:si>
  <x:si>
    <x:t xml:space="preserve">Открытые, макс</x:t>
  </x:si>
  <x:si>
    <x:t xml:space="preserve">Развернутые, баллы</x:t>
  </x:si>
  <x:si>
    <x:t xml:space="preserve">Развернутые, макс</x:t>
  </x:si>
  <x:si>
    <x:t xml:space="preserve">Практика, баллы</x:t>
  </x:si>
  <x:si>
    <x:t xml:space="preserve">Практика, макс</x:t>
  </x:si>
  <x:si>
    <x:t xml:space="preserve">Инженерный кейс, баллы</x:t>
  </x:si>
  <x:si>
    <x:t xml:space="preserve">Итог, %</x:t>
  </x:si>
  <x:si>
    <x:t xml:space="preserve">Самоуверенность 0–3</x:t>
  </x:si>
  <x:si>
    <x:t xml:space="preserve">Практика, %</x:t>
  </x:si>
  <x:si>
    <x:t xml:space="preserve">Итоговый ранг 0–5</x:t>
  </x:si>
  <x:si>
    <x:t xml:space="preserve">Ключевой вывод</x:t>
  </x:si>
  <x:si>
    <x:t xml:space="preserve">Следующий шаг</x:t>
  </x:si>
  <x:si>
    <x:t xml:space="preserve">Пробел / риск</x:t>
  </x:si>
  <x:si>
    <x:t xml:space="preserve">17.08.2026</x:t>
  </x:si>
  <x:si>
    <x:t xml:space="preserve">Computer Science Fundamentals</x:t>
  </x:si>
  <x:si>
    <x:t xml:space="preserve">Завершен</x:t>
  </x:si>
  <x:si>
    <x:t xml:space="preserve">Тестовое узнавание заметно выше свободного воспроизведения: 14/20 в тесте, но открытые, развернутые и практические задания показывают слабый фундамент. Основы CS требуют системного восстановления почти с базового уровня.</x:t>
  </x:si>
  <x:si>
    <x:t xml:space="preserve">После завершения Assessment Week поставить Computer Science Fundamentals в критический приоритет: Big O → структуры данных → базовые алгоритмы → память/виртуальная память → процессы/потоки → конкурентность.</x:t>
  </x:si>
  <x:si>
    <x:t xml:space="preserve">18.08.2026</x:t>
  </x:si>
  <x:si>
    <x:t xml:space="preserve">Programming &amp; Automation</x:t>
  </x:si>
  <x:si>
    <x:t xml:space="preserve">19.08.2026</x:t>
  </x:si>
  <x:si>
    <x:t xml:space="preserve">Linux &amp; Systems</x:t>
  </x:si>
  <x:si>
    <x:t xml:space="preserve">20.08.2026</x:t>
  </x:si>
  <x:si>
    <x:t xml:space="preserve">Networks &amp; Network Security</x:t>
  </x:si>
  <x:si>
    <x:t xml:space="preserve">21.08.2026</x:t>
  </x:si>
  <x:si>
    <x:t xml:space="preserve">Windows &amp; Enterprise Infrastructure</x:t>
  </x:si>
  <x:si>
    <x:t xml:space="preserve">Не начат</x:t>
  </x:si>
  <x:si>
    <x:t xml:space="preserve">Windows Server; AD; DNS; GPO; PowerShell; identity; enterprise administration; hardening</x:t>
  </x:si>
  <x:si>
    <x:t xml:space="preserve">22.08.2026</x:t>
  </x:si>
  <x:si>
    <x:t xml:space="preserve">Cybersecurity Engineering</x:t>
  </x:si>
  <x:si>
    <x:t xml:space="preserve">Security fundamentals; crypto/PKI; IAM; web/appsec; detection; offensive basics; compliance</x:t>
  </x:si>
  <x:si>
    <x:t xml:space="preserve">23.08.2026</x:t>
  </x:si>
  <x:si>
    <x:t xml:space="preserve">DevOps, Cloud &amp; Infrastructure Security</x:t>
  </x:si>
  <x:si>
    <x:t xml:space="preserve">Docker; Nginx; CI/CD; Kubernetes concepts; IaC; monitoring; cloud/security principles</x:t>
  </x:si>
  <x:si>
    <x:t xml:space="preserve">ИТОГ НЕДЕЛИ</x:t>
  </x:si>
  <x:si>
    <x:t xml:space="preserve">Итоговая карта формируется после разбора всех экзаменов.</x:t>
  </x:si>
  <x:si>
    <x:t xml:space="preserve">Карта компетенций · baseline</x:t>
  </x:si>
  <x:si>
    <x:t xml:space="preserve">Заполняется после каждого разбора: здесь фиксируется не ощущение «знаю/не знаю», а подтвержденная степень самостоятельности.</x:t>
  </x:si>
  <x:si>
    <x:t xml:space="preserve">Область</x:t>
  </x:si>
  <x:si>
    <x:t xml:space="preserve">Поднавык</x:t>
  </x:si>
  <x:si>
    <x:t xml:space="preserve">Источник оценки</x:t>
  </x:si>
  <x:si>
    <x:t xml:space="preserve">Самооценка до 0–5</x:t>
  </x:si>
  <x:si>
    <x:t xml:space="preserve">Диагностический балл, %</x:t>
  </x:si>
  <x:si>
    <x:t xml:space="preserve">Подтвержденный ранг 0–5</x:t>
  </x:si>
  <x:si>
    <x:t xml:space="preserve">Уверенность 0–3</x:t>
  </x:si>
  <x:si>
    <x:t xml:space="preserve">Сильная сторона?</x:t>
  </x:si>
  <x:si>
    <x:t xml:space="preserve">Ключевой пробел</x:t>
  </x:si>
  <x:si>
    <x:t xml:space="preserve">Ошибочная модель / риск</x:t>
  </x:si>
  <x:si>
    <x:t xml:space="preserve">Приоритет</x:t>
  </x:si>
  <x:si>
    <x:t xml:space="preserve">Доказательство навыка</x:t>
  </x:si>
  <x:si>
    <x:t xml:space="preserve">Дата перепроверки</x:t>
  </x:si>
  <x:si>
    <x:t xml:space="preserve">Комментарий</x:t>
  </x:si>
  <x:si>
    <x:t xml:space="preserve">Computer Science</x:t>
  </x:si>
  <x:si>
    <x:t xml:space="preserve">Алгоритмическая сложность и Big O</x:t>
  </x:si>
  <x:si>
    <x:t xml:space="preserve">Exam 01 · A1/A5/B1/D1</x:t>
  </x:si>
  <x:si>
    <x:t xml:space="preserve">Нет</x:t>
  </x:si>
  <x:si>
    <x:t xml:space="preserve">Не может объяснить Big O и пространственную сложность; узнаёт O(log n) и самостоятельно определил O(n²).</x:t>
  </x:si>
  <x:si>
    <x:t xml:space="preserve">Риск путать асимптотику с фактическим временем и не учитывать память.</x:t>
  </x:si>
  <x:si>
    <x:t xml:space="preserve">Критический</x:t>
  </x:si>
  <x:si>
    <x:t xml:space="preserve">A1 — верно с уверенностью 1/3; B1 — «не знаю»; D1 — O(n²) определено верно, остальное не выполнено.</x:t>
  </x:si>
  <x:si>
    <x:t xml:space="preserve">Есть отдельные узнаваемые элементы, но цельной модели алгоритмической сложности пока нет.</x:t>
  </x:si>
  <x:si>
    <x:t xml:space="preserve">Поиск, сортировки и базовые алгоритмические приемы</x:t>
  </x:si>
  <x:si>
    <x:t xml:space="preserve">Exam 01 · A1/A2/D2</x:t>
  </x:si>
  <x:si>
    <x:t xml:space="preserve">Не может объяснить или реализовать бинарный поиск; базовые алгоритмические шаблоны не воспроизводятся.</x:t>
  </x:si>
  <x:si>
    <x:t xml:space="preserve">Сильный разрыв между распознаванием ответа в тесте и самостоятельным воспроизведением.</x:t>
  </x:si>
  <x:si>
    <x:t xml:space="preserve">A1 и A2 — верно; D2 — «не знаю что такое бинарный поиск».</x:t>
  </x:si>
  <x:si>
    <x:t xml:space="preserve">Это один из самых показательных результатов экзамена.</x:t>
  </x:si>
  <x:si>
    <x:t xml:space="preserve">Структуры данных: array/list/stack/queue/hash/tree</x:t>
  </x:si>
  <x:si>
    <x:t xml:space="preserve">Exam 01 · A3–A8/B2–B3/C3/D3</x:t>
  </x:si>
  <x:si>
    <x:t xml:space="preserve">Забыты связный список, практическое применение hash table и tree, сложности операций; знание стека/очереди фрагментарное.</x:t>
  </x:si>
  <x:si>
    <x:t xml:space="preserve">Коллизия понимается как проблема, которую надо «избежать», а не корректно разрешить при сохранении разных ключей.</x:t>
  </x:si>
  <x:si>
    <x:t xml:space="preserve">Stack/LIFO и Queue/FIFO узнаются; коллизия определена верно; D3(a) — очередь верно; остальные сценарии почти не решены.</x:t>
  </x:si>
  <x:si>
    <x:t xml:space="preserve">Нужно строить структуры данных от операций и сценариев, а не учить определения.</x:t>
  </x:si>
  <x:si>
    <x:t xml:space="preserve">Память: stack/heap/virtual memory</x:t>
  </x:si>
  <x:si>
    <x:t xml:space="preserve">Exam 01 · A9–A11/B4–B5/C2/E4</x:t>
  </x:si>
  <x:si>
    <x:t xml:space="preserve">Нет рабочей модели stack/heap, virtual memory, pages, page fault, swap/pagefile и locality.</x:t>
  </x:si>
  <x:si>
    <x:t xml:space="preserve">Виртуальное адресное пространство частично связывается с «ускорением», что не является его основной функцией.</x:t>
  </x:si>
  <x:si>
    <x:t xml:space="preserve">A9/A10 распознаны верно при 0/3 уверенности; B5 содержит правильную мысль об изоляции; C2 и E4 не выполнены.</x:t>
  </x:si>
  <x:si>
    <x:t xml:space="preserve">Изоляция адресных пространств угадывается правильно, механизм виртуальной памяти отсутствует.</x:t>
  </x:si>
  <x:si>
    <x:t xml:space="preserve">Процессы, потоки, scheduling, synchronization</x:t>
  </x:si>
  <x:si>
    <x:t xml:space="preserve">Exam 01 · A12–A16/B6/B8/C1/C4/D4</x:t>
  </x:si>
  <x:si>
    <x:t xml:space="preserve">Не воспроизводятся lifecycle процесса, scheduling, ожидание I/O, synchronization; race/deadlock понимаются крайне поверхностно.</x:t>
  </x:si>
  <x:si>
    <x:t xml:space="preserve">Race condition трактуется как абстрактный «конфликт доступа», без модели read-modify-write/lost update.</x:t>
  </x:si>
  <x:si>
    <x:t xml:space="preserve">Тестовые определения process/thread, context switch, race, mutex распознаны; открытые ответы и D4 показывают отсутствие механизма.</x:t>
  </x:si>
  <x:si>
    <x:t xml:space="preserve">Приоритет — процессы/потоки и конкурентность с практическими моделями.</x:t>
  </x:si>
  <x:si>
    <x:t xml:space="preserve">CPU, cache, interrupts, I/O, architecture basics</x:t>
  </x:si>
  <x:si>
    <x:t xml:space="preserve">Exam 01 · A17–A20/B7/B9–B10/E1–E3</x:t>
  </x:si>
  <x:si>
    <x:t xml:space="preserve">Не объясняет interrupts, temporal/spatial locality, CPU-bound vs I/O-bound и причины однопоточного bottleneck.</x:t>
  </x:si>
  <x:si>
    <x:t xml:space="preserve">Средняя загрузка CPU может ошибочно восприниматься как показатель отсутствия CPU bottleneck.</x:t>
  </x:si>
  <x:si>
    <x:t xml:space="preserve">Высокий</x:t>
  </x:si>
  <x:si>
    <x:t xml:space="preserve">System call/user-kernel boundary и cache распознаны; B7 частично верен; инженерный кейс почти не разобран.</x:t>
  </x:si>
  <x:si>
    <x:t xml:space="preserve">Нужна связка CPU/cache/I/O/interrupts с реальной диагностикой производительности.</x:t>
  </x:si>
  <x:si>
    <x:t xml:space="preserve">Programming</x:t>
  </x:si>
  <x:si>
    <x:t xml:space="preserve">Python syntax, data types, functions</x:t>
  </x:si>
  <x:si>
    <x:t xml:space="preserve">Python: files, exceptions, modules, OOP basics</x:t>
  </x:si>
  <x:si>
    <x:t xml:space="preserve">Bash / shell automation</x:t>
  </x:si>
  <x:si>
    <x:t xml:space="preserve">Git workflow and version control</x:t>
  </x:si>
  <x:si>
    <x:t xml:space="preserve">SQL basics and data querying</x:t>
  </x:si>
  <x:si>
    <x:t xml:space="preserve">Networks</x:t>
  </x:si>
  <x:si>
    <x:t xml:space="preserve">Security</x:t>
  </x:si>
  <x:si>
    <x:t xml:space="preserve">Security principles, threat/risk models</x:t>
  </x:si>
  <x:si>
    <x:t xml:space="preserve">Cryptography, PKI, TLS</x:t>
  </x:si>
  <x:si>
    <x:t xml:space="preserve">IAM, access control, authentication</x:t>
  </x:si>
  <x:si>
    <x:t xml:space="preserve">Web/AppSec and OWASP</x:t>
  </x:si>
  <x:si>
    <x:t xml:space="preserve">Detection, logs, SIEM, incident reasoning</x:t>
  </x:si>
  <x:si>
    <x:t xml:space="preserve">Offensive / CTF fundamentals</x:t>
  </x:si>
  <x:si>
    <x:t xml:space="preserve">Compliance: ПДн, КИИ, регуляторная база и процессы</x:t>
  </x:si>
  <x:si>
    <x:t xml:space="preserve">DevOps &amp; Cloud</x:t>
  </x:si>
  <x:si>
    <x:t xml:space="preserve">Docker, CI/CD, Kubernetes, IaC, monitoring, cloud security</x:t>
  </x:si>
  <x:si>
    <x:t xml:space="preserve">Повторение и контрольные проверки</x:t>
  </x:si>
  <x:si>
    <x:t xml:space="preserve">Сюда попадают навыки, которые нужно перепроверять после первичного изучения: повторение — обязательная часть системы, а не «исправление забывчивости».</x:t>
  </x:si>
  <x:si>
    <x:t xml:space="preserve">Навык / тема</x:t>
  </x:si>
  <x:si>
    <x:t xml:space="preserve">Дата первичной проверки</x:t>
  </x:si>
  <x:si>
    <x:t xml:space="preserve">Дата повтора</x:t>
  </x:si>
  <x:si>
    <x:t xml:space="preserve">Формат проверки</x:t>
  </x:si>
  <x:si>
    <x:t xml:space="preserve">Результат, %</x:t>
  </x:si>
  <x:si>
    <x:t xml:space="preserve">Ранг до</x:t>
  </x:si>
  <x:si>
    <x:t xml:space="preserve">Ранг после</x:t>
  </x:si>
  <x:si>
    <x:t xml:space="preserve">Что забылось / сломалось</x:t>
  </x:si>
  <x:si>
    <x:t xml:space="preserve">Следующее действие</x:t>
  </x:si>
  <x:si>
    <x:t xml:space="preserve">Big O и анализ сложности</x:t>
  </x:si>
  <x:si>
    <x:t xml:space="preserve">Проверить объяснение Big O + time/space complexity на новых задачах.</x:t>
  </x:si>
  <x:si>
    <x:t xml:space="preserve">Вернуться после базового цикла CS.</x:t>
  </x:si>
  <x:si>
    <x:t xml:space="preserve">Бинарный поиск и базовые алгоритмы</x:t>
  </x:si>
  <x:si>
    <x:t xml:space="preserve">Реализовать без подсказок и объяснить инвариант/сложность.</x:t>
  </x:si>
  <x:si>
    <x:t xml:space="preserve">Проверить на новом массиве и граничных случаях.</x:t>
  </x:si>
  <x:si>
    <x:t xml:space="preserve">Структуры данных</x:t>
  </x:si>
  <x:si>
    <x:t xml:space="preserve">Инженерный кейс</x:t>
  </x:si>
  <x:si>
    <x:t xml:space="preserve">Выбирать структуру по операциям и ограничениям; объяснять сложности.</x:t>
  </x:si>
  <x:si>
    <x:t xml:space="preserve">Смешанный кейс array/list/hash/tree/stack/queue.</x:t>
  </x:si>
  <x:si>
    <x:t xml:space="preserve">Память и виртуальная память</x:t>
  </x:si>
  <x:si>
    <x:t xml:space="preserve">Короткий тест</x:t>
  </x:si>
  <x:si>
    <x:t xml:space="preserve">Stack/heap/pages/page fault/swap/locality.</x:t>
  </x:si>
  <x:si>
    <x:t xml:space="preserve">Связать с диагностикой RAM/swap/latency.</x:t>
  </x:si>
  <x:si>
    <x:t xml:space="preserve">Процессы, потоки и конкурентность</x:t>
  </x:si>
  <x:si>
    <x:t xml:space="preserve">Lifecycle, scheduling, context switch, race, mutex, deadlock.</x:t>
  </x:si>
  <x:si>
    <x:t xml:space="preserve">Обязательная практическая задача с lost update.</x:t>
  </x:si>
  <x:si>
    <x:t xml:space="preserve">CPU/cache/I-O/system calls</x:t>
  </x:si>
  <x:si>
    <x:t xml:space="preserve">Cache locality, interrupts, CPU-bound/I-O-bound.</x:t>
  </x:si>
  <x:si>
    <x:t xml:space="preserve">Разбор производительности сервиса.</x:t>
  </x:si>
  <x:si>
    <x:t xml:space="preserve">Правила диагностики и шкалы</x:t>
  </x:si>
  <x:si>
    <x:t xml:space="preserve">Ранги 0–5: степень самостоятельности</x:t>
  </x:si>
  <x:si>
    <x:t xml:space="preserve">Уверенность ответа 0–3</x:t>
  </x:si>
  <x:si>
    <x:t xml:space="preserve">Ранг</x:t>
  </x:si>
  <x:si>
    <x:t xml:space="preserve">Название</x:t>
  </x:si>
  <x:si>
    <x:t xml:space="preserve">Что означает</x:t>
  </x:si>
  <x:si>
    <x:t xml:space="preserve">Как подтверждается</x:t>
  </x:si>
  <x:si>
    <x:t xml:space="preserve">Уровень</x:t>
  </x:si>
  <x:si>
    <x:t xml:space="preserve">Интерпретация</x:t>
  </x:si>
  <x:si>
    <x:t xml:space="preserve">Не знаком</x:t>
  </x:si>
  <x:si>
    <x:t xml:space="preserve">Тема практически неизвестна.</x:t>
  </x:si>
  <x:si>
    <x:t xml:space="preserve">Нет практического подтверждения.</x:t>
  </x:si>
  <x:si>
    <x:t xml:space="preserve">Не уверен</x:t>
  </x:si>
  <x:si>
    <x:t xml:space="preserve">Практически не знаю / случайная догадка.</x:t>
  </x:si>
  <x:si>
    <x:t xml:space="preserve">Знаю основы</x:t>
  </x:si>
  <x:si>
    <x:t xml:space="preserve">Понимаю базовые термины и принципы.</x:t>
  </x:si>
  <x:si>
    <x:t xml:space="preserve">Могу объяснить основу своими словами.</x:t>
  </x:si>
  <x:si>
    <x:t xml:space="preserve">Скорее предполагаю</x:t>
  </x:si>
  <x:si>
    <x:t xml:space="preserve">Есть направление мысли, но знание неустойчивое.</x:t>
  </x:si>
  <x:si>
    <x:t xml:space="preserve">Делаю с опорой</x:t>
  </x:si>
  <x:si>
    <x:t xml:space="preserve">Типовые задачи решаю с документацией / подсказками.</x:t>
  </x:si>
  <x:si>
    <x:t xml:space="preserve">Практика есть, но самостоятельность нестабильна.</x:t>
  </x:si>
  <x:si>
    <x:t xml:space="preserve">Почти уверен</x:t>
  </x:si>
  <x:si>
    <x:t xml:space="preserve">Ответ кажется правильным, остаются сомнения.</x:t>
  </x:si>
  <x:si>
    <x:t xml:space="preserve">Самостоятельный</x:t>
  </x:si>
  <x:si>
    <x:t xml:space="preserve">Типовую задачу решаю сам и понимаю действия.</x:t>
  </x:si>
  <x:si>
    <x:t xml:space="preserve">Навык подтвержден самостоятельной работой.</x:t>
  </x:si>
  <x:si>
    <x:t xml:space="preserve">Уверен</x:t>
  </x:si>
  <x:si>
    <x:t xml:space="preserve">Считаю ответ надежным и могу его защищать.</x:t>
  </x:si>
  <x:si>
    <x:t xml:space="preserve">Инженерный</x:t>
  </x:si>
  <x:si>
    <x:t xml:space="preserve">Диагностирую нетипичные проблемы, выбираю решения и trade-offs.</x:t>
  </x:si>
  <x:si>
    <x:t xml:space="preserve">Справляюсь с поломками и неопределенностью.</x:t>
  </x:si>
  <x:si>
    <x:t xml:space="preserve">Глубокое владение</x:t>
  </x:si>
  <x:si>
    <x:t xml:space="preserve">Проектирую, оптимизирую, объясняю внутреннее устройство и могу обучать.</x:t>
  </x:si>
  <x:si>
    <x:t xml:space="preserve">Уровень устойчив в сложных сценариях.</x:t>
  </x:si>
  <x:si>
    <x:t xml:space="preserve">Принципы Assessment Week</x:t>
  </x:si>
  <x:si>
    <x:t xml:space="preserve">Без ИИ и интернета</x:t>
  </x:si>
  <x:si>
    <x:t xml:space="preserve">Диагностика должна измерять собственные знания. Документация разрешается только в заданиях, где это явно указано.</x:t>
  </x:si>
  <x:si>
    <x:t xml:space="preserve">«Не знаю» лучше воды</x:t>
  </x:si>
  <x:si>
    <x:t xml:space="preserve">Незнание — полезный диагностический сигнал. Угадывание и маскировка пробела мешают построить правильный план.</x:t>
  </x:si>
  <x:si>
    <x:t xml:space="preserve">Строгая оценка</x:t>
  </x:si>
  <x:si>
    <x:t xml:space="preserve">Баллы выдаются за корректность, понимание механизма, применение и самостоятельность.</x:t>
  </x:si>
  <x:si>
    <x:t xml:space="preserve">Навык ≠ просмотренный курс</x:t>
  </x:si>
  <x:si>
    <x:t xml:space="preserve">Ранг растет только после практического доказательства.</x:t>
  </x:si>
  <x:si>
    <x:t xml:space="preserve">Ошибка + уверенность 3 — красный флаг</x:t>
  </x:si>
  <x:si>
    <x:t xml:space="preserve">Это признак неверной модели в голове; такие ошибки разбираются в первую очередь.</x:t>
  </x:si>
  <x:si>
    <x:t xml:space="preserve">6</x:t>
  </x:si>
  <x:si>
    <x:t xml:space="preserve">Повторение обязательно</x:t>
  </x:si>
  <x:si>
    <x:t xml:space="preserve">После первичного освоения навыки перепроверяются через 4–6 недель и в комплексных контрольных.</x:t>
  </x:si>
  <x:si>
    <x:t xml:space="preserve">Рекомендуемая структура каждого диагностического экзамена</x:t>
  </x:si>
  <x:si>
    <x:t xml:space="preserve">Блок</x:t>
  </x:si>
  <x:si>
    <x:t xml:space="preserve">Формат</x:t>
  </x:si>
  <x:si>
    <x:t xml:space="preserve">Объем</x:t>
  </x:si>
  <x:si>
    <x:t xml:space="preserve">Что проверяет</x:t>
  </x:si>
  <x:si>
    <x:t xml:space="preserve">A</x:t>
  </x:si>
  <x:si>
    <x:t xml:space="preserve">Быстрый тест</x:t>
  </x:si>
  <x:si>
    <x:t xml:space="preserve">15–25 вопросов</x:t>
  </x:si>
  <x:si>
    <x:t xml:space="preserve">Широкий охват базы</x:t>
  </x:si>
  <x:si>
    <x:t xml:space="preserve">B</x:t>
  </x:si>
  <x:si>
    <x:t xml:space="preserve">Короткие открытые</x:t>
  </x:si>
  <x:si>
    <x:t xml:space="preserve">8–12 вопросов</x:t>
  </x:si>
  <x:si>
    <x:t xml:space="preserve">Понимание своими словами</x:t>
  </x:si>
  <x:si>
    <x:t xml:space="preserve">C</x:t>
  </x:si>
  <x:si>
    <x:t xml:space="preserve">Развернутые</x:t>
  </x:si>
  <x:si>
    <x:t xml:space="preserve">3–5 вопросов</x:t>
  </x:si>
  <x:si>
    <x:t xml:space="preserve">Механизмы и причинно-следственные связи</x:t>
  </x:si>
  <x:si>
    <x:t xml:space="preserve">D</x:t>
  </x:si>
  <x:si>
    <x:t xml:space="preserve">Задачи</x:t>
  </x:si>
  <x:si>
    <x:t xml:space="preserve">2–5 задач</x:t>
  </x:si>
  <x:si>
    <x:t xml:space="preserve">Применение знаний</x:t>
  </x:si>
  <x:si>
    <x:t xml:space="preserve">E</x:t>
  </x:si>
  <x:si>
    <x:t xml:space="preserve">по теме</x:t>
  </x:si>
  <x:si>
    <x:t xml:space="preserve">Код / команды / конфигурация / диагностика</x:t>
  </x:si>
  <x:si>
    <x:t xml:space="preserve">F</x:t>
  </x:si>
  <x:si>
    <x:t xml:space="preserve">1 кейс · 20 баллов</x:t>
  </x:si>
  <x:si>
    <x:t xml:space="preserve">Работа с неопределенностью и выбор решения</x:t>
  </x:si>
  <x:si>
    <x:t xml:space="preserve">ASSESSMENT WEEK · план диагностики</x:t>
  </x:si>
  <x:si>
    <x:t xml:space="preserve">День</x:t>
  </x:si>
  <x:si>
    <x:t xml:space="preserve">Что проверяем</x:t>
  </x:si>
  <x:si>
    <x:t xml:space="preserve">Время</x:t>
  </x:si>
  <x:si>
    <x:t xml:space="preserve">Макс. балл</x:t>
  </x:si>
  <x:si>
    <x:t xml:space="preserve">Результат</x:t>
  </x:si>
  <x:si>
    <x:t xml:space="preserve">Алгоритмы; структуры данных; устройство компьютера; память; процессы/потоки; основы ОС</x:t>
  </x:si>
  <x:si>
    <x:t xml:space="preserve">Python; Bash; Git; файлы; API; SQL basics; автоматизация типовых задач</x:t>
  </x:si>
  <x:si>
    <x:t xml:space="preserve">Linux; users/permissions; processes; systemd; filesystems; logs; SSH; диагностика</x:t>
  </x:si>
  <x:si>
    <x:t xml:space="preserve">TCP/IP; switching/routing; VLAN; DNS/DHCP; VPN; firewall; troubleshooting; secure networking</x:t>
  </x:si>
  <x:si>
    <x:t xml:space="preserve">ЭКЗАМЕН №1 · РАЗБОР И ДИАГНОСТИКА</x:t>
  </x:si>
  <x:si>
    <x:t xml:space="preserve">Computer Science Fundamentals · 17.08.2026 · строгая оценка baseline</x:t>
  </x:si>
  <x:si>
    <x:t xml:space="preserve">Макс.</x:t>
  </x:si>
  <x:si>
    <x:t xml:space="preserve">Балл</x:t>
  </x:si>
  <x:si>
    <x:t xml:space="preserve">%</x:t>
  </x:si>
  <x:si>
    <x:t xml:space="preserve">Оценка</x:t>
  </x:si>
  <x:si>
    <x:t xml:space="preserve">Что получилось</x:t>
  </x:si>
  <x:si>
    <x:t xml:space="preserve">Главный пробел</x:t>
  </x:si>
  <x:si>
    <x:t xml:space="preserve">Диагностический вывод</x:t>
  </x:si>
  <x:si>
    <x:t xml:space="preserve">A · Тест</x:t>
  </x:si>
  <x:si>
    <x:t xml:space="preserve">Лучший блок</x:t>
  </x:si>
  <x:si>
    <x:t xml:space="preserve">Правильно распознаны бинарный поиск, LIFO/FIFO, collision, process/thread, context switch, race, mutex, system call, cache, modes.</x:t>
  </x:si>
  <x:si>
    <x:t xml:space="preserve">Уверенность низкая; часть правильных ответов получена через логику/узнавание.</x:t>
  </x:si>
  <x:si>
    <x:t xml:space="preserve">Термины знакомы, но это пока не означает владение материалом.</x:t>
  </x:si>
  <x:si>
    <x:t xml:space="preserve">B · Короткие</x:t>
  </x:si>
  <x:si>
    <x:t xml:space="preserve">Очень слабо</x:t>
  </x:si>
  <x:si>
    <x:t xml:space="preserve">Частично: изоляция адресных пространств и user→kernel при чтении файла.</x:t>
  </x:si>
  <x:si>
    <x:t xml:space="preserve">Нет свободного объяснения Big O, структур данных, recursion, concurrency, locality, CPU/I-O bound.</x:t>
  </x:si>
  <x:si>
    <x:t xml:space="preserve">При закрытых вариантах знание выглядит существенно лучше, чем при свободном ответе.</x:t>
  </x:si>
  <x:si>
    <x:t xml:space="preserve">C · Развернутые</x:t>
  </x:si>
  <x:si>
    <x:t xml:space="preserve">Фрагменты: создание процесса, адресное пространство, LIFO/FIFO, идея конфликта общего ресурса.</x:t>
  </x:si>
  <x:si>
    <x:t xml:space="preserve">Нет цельных механизмов ОС, виртуальной памяти, структур данных и синхронизации.</x:t>
  </x:si>
  <x:si>
    <x:t xml:space="preserve">Фундаментальные модели пока не собраны в систему.</x:t>
  </x:si>
  <x:si>
    <x:t xml:space="preserve">D · Практика</x:t>
  </x:si>
  <x:si>
    <x:t xml:space="preserve">Слабо</x:t>
  </x:si>
  <x:si>
    <x:t xml:space="preserve">Самостоятельно найдено O(n²); очередь выбрана для FIFO; уловлена проблема производительности общей блокировки.</x:t>
  </x:si>
  <x:si>
    <x:t xml:space="preserve">Не реализуется бинарный поиск; почти нет выбора структур данных; lost update не объяснен.</x:t>
  </x:si>
  <x:si>
    <x:t xml:space="preserve">Практическое применение отстает сильнее теоретического узнавания.</x:t>
  </x:si>
  <x:si>
    <x:t xml:space="preserve">E · Инженерный кейс</x:t>
  </x:si>
  <x:si>
    <x:t xml:space="preserve">Практически отсутствует</x:t>
  </x:si>
  <x:si>
    <x:t xml:space="preserve">Замечено, что одно ядро на 100% — потенциальная проблема.</x:t>
  </x:si>
  <x:si>
    <x:t xml:space="preserve">Не строятся гипотезы по списку, RAM/swap, потокам, локальности и сложности поиска.</x:t>
  </x:si>
  <x:si>
    <x:t xml:space="preserve">Пока недостаточно базы, чтобы связать CS-концепции с диагностикой реальной системы.</x:t>
  </x:si>
  <x:si>
    <x:t xml:space="preserve">Итог</x:t>
  </x:si>
  <x:si>
    <x:t xml:space="preserve">Итоговый балл</x:t>
  </x:si>
  <x:si>
    <x:t xml:space="preserve">Главный вывод: ты не «в нуле» в буквальном смысле — знакомство с терминологией сохранилось, что видно по 14/20 в тесте. Но уровень самостоятельного воспроизведения и применения действительно близок к начальному. Поэтому Computer Science Fundamentals нужно не «освежить за вечер», а системно пересобрать с базы и закрепить практикой.</x:t>
  </x:si>
  <x:si>
    <x:t xml:space="preserve">Подтвержденный общий ранг</x:t>
  </x:si>
  <x:si>
    <x:t xml:space="preserve">Фактическое время</x:t>
  </x:si>
  <x:si>
    <x:t xml:space="preserve">≈32 мин из 150</x:t>
  </x:si>
  <x:si>
    <x:t xml:space="preserve">Ключевые диагностические сигналы</x:t>
  </x:si>
  <x:si>
    <x:t xml:space="preserve">Узнавание ≠ воспроизведение</x:t>
  </x:si>
  <x:si>
    <x:t xml:space="preserve">A1/A2 правильны, но D2: «не знаю что такое бинарный поиск». Это самый чистый пример разрыва между тестовым узнаванием и рабочим знанием.</x:t>
  </x:si>
  <x:si>
    <x:t xml:space="preserve">Честность дала полезные данные</x:t>
  </x:si>
  <x:si>
    <x:t xml:space="preserve">Большое число ответов «не знаю» делает baseline качественным: нам не придется лечить выдуманные сильные стороны.</x:t>
  </x:si>
  <x:si>
    <x:t xml:space="preserve">Сохранились отдельные опорные точки</x:t>
  </x:si>
  <x:si>
    <x:t xml:space="preserve">LIFO/FIFO, collision, system call, user/kernel, cache и O(n²) не исчезли полностью. На них можно быстро наращивать новую систему.</x:t>
  </x:si>
  <x:si>
    <x:t xml:space="preserve">Главная проблема — отсутствие связной модели</x:t>
  </x:si>
  <x:si>
    <x:t xml:space="preserve">Термины иногда знакомы по отдельности, но они не объединяются в процесс выполнения программы, модель памяти или алгоритмический выбор.</x:t>
  </x:si>
  <x:si>
    <x:t xml:space="preserve">Инженерное мышление ограничено нехваткой фундамента</x:t>
  </x:si>
  <x:si>
    <x:t xml:space="preserve">Кейс почти не решается, потому что пока нет инструментов: complexity, locality, swap, concurrency и profiling.</x:t>
  </x:si>
  <x:si>
    <x:t xml:space="preserve">Приоритет восстановления после Assessment Week</x:t>
  </x:si>
  <x:si>
    <x:t xml:space="preserve">Тема</x:t>
  </x:si>
  <x:si>
    <x:t xml:space="preserve">Зачем</x:t>
  </x:si>
  <x:si>
    <x:t xml:space="preserve">Big O + time/space complexity</x:t>
  </x:si>
  <x:si>
    <x:t xml:space="preserve">Нужно для алгоритмов, структур данных и оценки решений.</x:t>
  </x:si>
  <x:si>
    <x:t xml:space="preserve">Array/list/stack/queue/hash/tree через операции, сложности и выбор под задачу.</x:t>
  </x:si>
  <x:si>
    <x:t xml:space="preserve">Базовые алгоритмы</x:t>
  </x:si>
  <x:si>
    <x:t xml:space="preserve">Linear/binary search, основные сортировки и базовые алгоритмические шаблоны.</x:t>
  </x:si>
  <x:si>
    <x:t xml:space="preserve">Stack/heap/pages/page fault/swap/locality и связь с производительностью.</x:t>
  </x:si>
  <x:si>
    <x:t xml:space="preserve">Процессы и потоки</x:t>
  </x:si>
  <x:si>
    <x:t xml:space="preserve">Lifecycle, scheduling, context switch, I/O states.</x:t>
  </x:si>
  <x:si>
    <x:t xml:space="preserve">Concurrency</x:t>
  </x:si>
  <x:si>
    <x:t xml:space="preserve">Race, critical section, mutex, atomics, deadlock.</x:t>
  </x:si>
  <x:si>
    <x:t xml:space="preserve">CPU/cache/I-O</x:t>
  </x:si>
  <x:si>
    <x:t xml:space="preserve">Locality, interrupts, CPU-bound/I-O-bound и поиск bottleneck.</x:t>
  </x:si>
</x:sst>
</file>

<file path=xl/styles.xml><?xml version="1.0" encoding="utf-8"?>
<x:styleSheet xmlns:x="http://schemas.openxmlformats.org/spreadsheetml/2006/main">
  <x:numFmts count="4">
    <x:numFmt numFmtId="164" formatCode="0.0"/>
    <x:numFmt numFmtId="165" formatCode="dd\.mm\.yyyy"/>
    <x:numFmt numFmtId="200" formatCode="dd.mm.yyyy"/>
    <x:numFmt numFmtId="201" formatCode="0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D2733"/>
      <x:name val="Carlito"/>
    </x:font>
    <x:font>
      <x:b/>
      <x:sz val="11"/>
      <x:color rgb="FFFFFFFF"/>
      <x:name val="Carlito"/>
    </x:font>
    <x:font>
      <x:sz val="11"/>
      <x:color rgb="FF1D2733"/>
      <x:name val="Carlito"/>
    </x:font>
    <x:font>
      <x:b/>
      <x:sz val="11"/>
      <x:color rgb="FF1D2733"/>
      <x:name val="Carlito"/>
    </x:font>
    <x:font>
      <x:b/>
      <x:sz val="20"/>
      <x:color rgb="FF16283F"/>
      <x:name val="Carlito"/>
    </x:font>
    <x:font>
      <x:b/>
      <x:sz val="11"/>
      <x:color rgb="FF2E7D78"/>
      <x:name val="Carlito"/>
    </x:font>
    <x:font>
      <x:sz val="9"/>
      <x:color rgb="FF1D2733"/>
      <x:name val="Carlito"/>
    </x:font>
    <x:font>
      <x:sz val="10"/>
      <x:color rgb="FF1D2733"/>
      <x:name val="Carlito"/>
    </x:font>
    <x:font>
      <x:b/>
      <x:sz val="11"/>
      <x:color rgb="FF16283F"/>
      <x:name val="Carlito"/>
    </x:font>
    <x:font>
      <x:i/>
      <x:sz val="11"/>
      <x:color rgb="FF1D2733"/>
      <x:name val="Carlito"/>
    </x:font>
    <x:font>
      <x:b/>
      <x:sz val="11"/>
      <x:color rgb="FF22563A"/>
      <x:name val="Carlito"/>
    </x:font>
    <x:font>
      <x:b/>
      <x:sz val="15"/>
      <x:color rgb="FF16283F"/>
      <x:name val="Carlito"/>
    </x:font>
    <x:font>
      <x:b/>
      <x:sz val="11"/>
      <x:color rgb="FF8A2D2D"/>
      <x:name val="Carlito"/>
    </x:font>
    <x:font>
      <x:b/>
      <x:sz val="11"/>
      <x:color rgb="FF765800"/>
      <x:name val="Carlito"/>
    </x:font>
    <x:font>
      <x:sz val="11"/>
      <x:name val="Carlito"/>
    </x:font>
    <x:font>
      <x:b/>
      <x:sz val="14"/>
      <x:color rgb="FF16283F"/>
      <x:name val="Carlito"/>
    </x:font>
  </x:fonts>
  <x:fills count="40">
    <x:fill>
      <x:patternFill patternType="none"/>
    </x:fill>
    <x:fill>
      <x:patternFill patternType="gray125"/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45B8A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2E7D78"/>
      </x:patternFill>
    </x:fill>
    <x:fill>
      <x:patternFill patternType="solid">
        <x:fgColor rgb="FF16283F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</x:fills>
  <x:borders count="103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2">
    <x:xf numFmtId="0" fontId="0" fillId="0" borderId="0"/>
    <x:xf numFmtId="0" fontId="16" fillId="0" borderId="0"/>
  </x:cellStyleXfs>
  <x:cellXfs count="863">
    <x:xf numFmtId="0" fontId="0" fillId="0" borderId="0" xfId="0"/>
    <x:xf numFmtId="0" fontId="1" fillId="2" borderId="0" xfId="1" applyFont="1" applyFill="1" applyAlignment="1">
      <x:alignment horizontal="left" vertical="center"/>
    </x:xf>
    <x:xf numFmtId="0" fontId="4" fillId="5" borderId="5" xfId="1" applyFont="1" applyFill="1" applyBorder="1" applyAlignment="1">
      <x:alignment horizontal="center" vertical="center"/>
    </x:xf>
    <x:xf numFmtId="0" fontId="4" fillId="5" borderId="6" xfId="1" applyFont="1" applyFill="1" applyBorder="1" applyAlignment="1">
      <x:alignment horizontal="center" vertical="center"/>
    </x:xf>
    <x:xf numFmtId="0" fontId="7" fillId="6" borderId="9" xfId="1" applyFont="1" applyFill="1" applyBorder="1" applyAlignment="1">
      <x:alignment horizontal="center"/>
    </x:xf>
    <x:xf numFmtId="0" fontId="7" fillId="6" borderId="10" xfId="1" applyFont="1" applyFill="1" applyBorder="1" applyAlignment="1">
      <x:alignment horizontal="center"/>
    </x:xf>
    <x:xf numFmtId="0" fontId="7" fillId="6" borderId="11" xfId="1" applyFont="1" applyFill="1" applyBorder="1" applyAlignment="1">
      <x:alignment horizontal="center"/>
    </x:xf>
    <x:xf numFmtId="0" fontId="5" fillId="0" borderId="9" xfId="1" applyFont="1" applyBorder="1"/>
    <x:xf numFmtId="0" fontId="5" fillId="0" borderId="10" xfId="1" applyFont="1" applyBorder="1"/>
    <x:xf numFmtId="0" fontId="5" fillId="0" borderId="11" xfId="1" applyFont="1" applyBorder="1"/>
    <x:xf numFmtId="0" fontId="8" fillId="0" borderId="0" xfId="1" applyFont="1"/>
    <x:xf numFmtId="164" fontId="8" fillId="0" borderId="0" xfId="1" applyNumberFormat="1" applyFont="1"/>
    <x:xf numFmtId="0" fontId="3" fillId="7" borderId="0" xfId="1" applyFont="1" applyFill="1" applyAlignment="1">
      <x:alignment horizontal="center" vertical="center" wrapText="1"/>
    </x:xf>
    <x:xf numFmtId="0" fontId="9" fillId="0" borderId="1" xfId="1" applyFont="1" applyBorder="1" applyAlignment="1">
      <x:alignment vertical="center"/>
    </x:xf>
    <x:xf numFmtId="0" fontId="9" fillId="0" borderId="12" xfId="1" applyFont="1" applyBorder="1" applyAlignment="1">
      <x:alignment vertical="center"/>
    </x:xf>
    <x:xf numFmtId="0" fontId="9" fillId="0" borderId="3" xfId="1" applyFont="1" applyBorder="1" applyAlignment="1">
      <x:alignment vertical="center"/>
    </x:xf>
    <x:xf numFmtId="0" fontId="9" fillId="0" borderId="0" xfId="1" applyFont="1" applyAlignment="1">
      <x:alignment vertical="center"/>
    </x:xf>
    <x:xf numFmtId="0" fontId="9" fillId="0" borderId="5" xfId="1" applyFont="1" applyBorder="1" applyAlignment="1">
      <x:alignment vertical="center"/>
    </x:xf>
    <x:xf numFmtId="0" fontId="9" fillId="0" borderId="13" xfId="1" applyFont="1" applyBorder="1" applyAlignment="1">
      <x:alignment vertical="center"/>
    </x:xf>
    <x:xf numFmtId="165" fontId="9" fillId="0" borderId="12" xfId="1" applyNumberFormat="1" applyFont="1" applyBorder="1" applyAlignment="1">
      <x:alignment vertical="center"/>
    </x:xf>
    <x:xf numFmtId="165" fontId="9" fillId="0" borderId="0" xfId="1" applyNumberFormat="1" applyFont="1" applyAlignment="1">
      <x:alignment vertical="center"/>
    </x:xf>
    <x:xf numFmtId="165" fontId="9" fillId="0" borderId="13" xfId="1" applyNumberFormat="1" applyFont="1" applyBorder="1" applyAlignment="1">
      <x:alignment vertical="center"/>
    </x:xf>
    <x:xf numFmtId="0" fontId="9" fillId="0" borderId="12" xfId="1" applyFont="1" applyBorder="1" applyAlignment="1">
      <x:alignment vertical="center" wrapText="1"/>
    </x:xf>
    <x:xf numFmtId="0" fontId="9" fillId="0" borderId="0" xfId="1" applyFont="1" applyAlignment="1">
      <x:alignment vertical="center" wrapText="1"/>
    </x:xf>
    <x:xf numFmtId="0" fontId="9" fillId="0" borderId="13" xfId="1" applyFont="1" applyBorder="1" applyAlignment="1">
      <x:alignment vertical="center" wrapText="1"/>
    </x:xf>
    <x:xf numFmtId="0" fontId="9" fillId="0" borderId="2" xfId="1" applyFont="1" applyBorder="1" applyAlignment="1">
      <x:alignment vertical="center" wrapText="1"/>
    </x:xf>
    <x:xf numFmtId="0" fontId="9" fillId="0" borderId="4" xfId="1" applyFont="1" applyBorder="1" applyAlignment="1">
      <x:alignment vertical="center" wrapText="1"/>
    </x:xf>
    <x:xf numFmtId="0" fontId="9" fillId="0" borderId="6" xfId="1" applyFont="1" applyBorder="1" applyAlignment="1">
      <x:alignment vertical="center" wrapText="1"/>
    </x:xf>
    <x:xf numFmtId="164" fontId="9" fillId="0" borderId="12" xfId="1" applyNumberFormat="1" applyFont="1" applyBorder="1" applyAlignment="1">
      <x:alignment vertical="center"/>
    </x:xf>
    <x:xf numFmtId="164" fontId="9" fillId="0" borderId="0" xfId="1" applyNumberFormat="1" applyFont="1" applyAlignment="1">
      <x:alignment vertical="center"/>
    </x:xf>
    <x:xf numFmtId="164" fontId="9" fillId="0" borderId="13" xfId="1" applyNumberFormat="1" applyFont="1" applyBorder="1" applyAlignment="1">
      <x:alignment vertical="center"/>
    </x:xf>
    <x:xf numFmtId="164" fontId="10" fillId="3" borderId="7" xfId="1" applyNumberFormat="1" applyFont="1" applyFill="1" applyBorder="1" applyAlignment="1">
      <x:alignment wrapText="1"/>
    </x:xf>
    <x:xf numFmtId="2" fontId="10" fillId="3" borderId="14" xfId="1" applyNumberFormat="1" applyFont="1" applyFill="1" applyBorder="1" applyAlignment="1">
      <x:alignment wrapText="1"/>
    </x:xf>
    <x:xf numFmtId="0" fontId="9" fillId="0" borderId="1" xfId="1" applyFont="1" applyBorder="1" applyAlignment="1">
      <x:alignment wrapText="1"/>
    </x:xf>
    <x:xf numFmtId="0" fontId="9" fillId="0" borderId="12" xfId="1" applyFont="1" applyBorder="1" applyAlignment="1">
      <x:alignment wrapText="1"/>
    </x:xf>
    <x:xf numFmtId="0" fontId="9" fillId="0" borderId="2" xfId="1" applyFont="1" applyBorder="1" applyAlignment="1">
      <x:alignment wrapText="1"/>
    </x:xf>
    <x:xf numFmtId="0" fontId="9" fillId="0" borderId="3" xfId="1" applyFont="1" applyBorder="1" applyAlignment="1">
      <x:alignment wrapText="1"/>
    </x:xf>
    <x:xf numFmtId="0" fontId="9" fillId="0" borderId="0" xfId="1" applyFont="1" applyAlignment="1">
      <x:alignment wrapText="1"/>
    </x:xf>
    <x:xf numFmtId="0" fontId="9" fillId="0" borderId="4" xfId="1" applyFont="1" applyBorder="1" applyAlignment="1">
      <x:alignment wrapText="1"/>
    </x:xf>
    <x:xf numFmtId="0" fontId="9" fillId="0" borderId="5" xfId="1" applyFont="1" applyBorder="1" applyAlignment="1">
      <x:alignment wrapText="1"/>
    </x:xf>
    <x:xf numFmtId="0" fontId="9" fillId="0" borderId="13" xfId="1" applyFont="1" applyBorder="1" applyAlignment="1">
      <x:alignment wrapText="1"/>
    </x:xf>
    <x:xf numFmtId="0" fontId="9" fillId="0" borderId="6" xfId="1" applyFont="1" applyBorder="1" applyAlignment="1">
      <x:alignment wrapText="1"/>
    </x:xf>
    <x:xf numFmtId="0" fontId="9" fillId="0" borderId="1" xfId="1" applyFont="1" applyBorder="1" applyAlignment="1">
      <x:alignment vertical="center" wrapText="1"/>
    </x:xf>
    <x:xf numFmtId="0" fontId="9" fillId="0" borderId="3" xfId="1" applyFont="1" applyBorder="1" applyAlignment="1">
      <x:alignment vertical="center" wrapText="1"/>
    </x:xf>
    <x:xf numFmtId="0" fontId="9" fillId="0" borderId="5" xfId="1" applyFont="1" applyBorder="1" applyAlignment="1">
      <x:alignment vertical="center" wrapText="1"/>
    </x:xf>
    <x:xf numFmtId="165" fontId="9" fillId="0" borderId="0" xfId="1" applyNumberFormat="1" applyFont="1" applyAlignment="1">
      <x:alignment vertical="center" wrapText="1"/>
    </x:xf>
    <x:xf numFmtId="165" fontId="9" fillId="0" borderId="13" xfId="1" applyNumberFormat="1" applyFont="1" applyBorder="1" applyAlignment="1">
      <x:alignment vertical="center" wrapText="1"/>
    </x:xf>
    <x:xf numFmtId="0" fontId="4" fillId="0" borderId="9" xfId="1" applyFont="1" applyBorder="1" applyAlignment="1">
      <x:alignment wrapText="1"/>
    </x:xf>
    <x:xf numFmtId="0" fontId="4" fillId="0" borderId="10" xfId="1" applyFont="1" applyBorder="1" applyAlignment="1">
      <x:alignment wrapText="1"/>
    </x:xf>
    <x:xf numFmtId="0" fontId="4" fillId="0" borderId="11" xfId="1" applyFont="1" applyBorder="1" applyAlignment="1">
      <x:alignment wrapText="1"/>
    </x:xf>
    <x:xf numFmtId="164" fontId="9" fillId="0" borderId="4" xfId="1" applyNumberFormat="1" applyFont="1" applyBorder="1" applyAlignment="1">
      <x:alignment vertical="center" wrapText="1"/>
    </x:xf>
    <x:xf numFmtId="164" fontId="9" fillId="0" borderId="6" xfId="1" applyNumberFormat="1" applyFont="1" applyBorder="1" applyAlignment="1">
      <x:alignment vertical="center" wrapText="1"/>
    </x:xf>
    <x:xf numFmtId="164" fontId="3" fillId="4" borderId="7" xfId="1" applyNumberFormat="1" applyFont="1" applyFill="1" applyBorder="1" applyAlignment="1">
      <x:alignment horizontal="left" vertical="center" wrapText="1"/>
    </x:xf>
    <x:xf numFmtId="164" fontId="3" fillId="4" borderId="14" xfId="1" applyNumberFormat="1" applyFont="1" applyFill="1" applyBorder="1" applyAlignment="1">
      <x:alignment horizontal="left" vertical="center" wrapText="1"/>
    </x:xf>
    <x:xf numFmtId="164" fontId="9" fillId="0" borderId="0" xfId="1" applyNumberFormat="1" applyFont="1" applyAlignment="1">
      <x:alignment vertical="center" wrapText="1"/>
    </x:xf>
    <x:xf numFmtId="0" fontId="3" fillId="8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164" fontId="0" fillId="0" borderId="0" xfId="1" applyNumberFormat="1" applyFont="1" applyAlignment="1">
      <x:alignment wrapText="1"/>
    </x:xf>
    <x:xf numFmtId="0" fontId="12" fillId="10" borderId="15" xfId="1" applyFont="1" applyFill="1" applyBorder="1" applyAlignment="1">
      <x:alignment horizontal="center" vertical="center" wrapText="1"/>
    </x:xf>
    <x:xf numFmtId="0" fontId="3" fillId="13" borderId="0" xfId="1" applyFont="1" applyFill="1" applyAlignment="1">
      <x:alignment horizontal="center" vertical="center" wrapText="1"/>
    </x:xf>
    <x:xf numFmtId="0" fontId="9" fillId="0" borderId="16" xfId="1" applyFont="1" applyBorder="1" applyAlignment="1">
      <x:alignment vertical="top" wrapText="1"/>
    </x:xf>
    <x:xf numFmtId="0" fontId="9" fillId="0" borderId="17" xfId="1" applyFont="1" applyBorder="1" applyAlignment="1">
      <x:alignment vertical="top" wrapText="1"/>
    </x:xf>
    <x:xf numFmtId="0" fontId="9" fillId="0" borderId="18" xfId="1" applyFont="1" applyBorder="1" applyAlignment="1">
      <x:alignment vertical="top" wrapText="1"/>
    </x:xf>
    <x:xf numFmtId="0" fontId="9" fillId="0" borderId="19" xfId="1" applyFont="1" applyBorder="1" applyAlignment="1">
      <x:alignment vertical="top" wrapText="1"/>
    </x:xf>
    <x:xf numFmtId="0" fontId="9" fillId="0" borderId="0" xfId="1" applyFont="1" applyAlignment="1">
      <x:alignment vertical="top" wrapText="1"/>
    </x:xf>
    <x:xf numFmtId="0" fontId="9" fillId="0" borderId="20" xfId="1" applyFont="1" applyBorder="1" applyAlignment="1">
      <x:alignment vertical="top" wrapText="1"/>
    </x:xf>
    <x:xf numFmtId="0" fontId="9" fillId="0" borderId="21" xfId="1" applyFont="1" applyBorder="1" applyAlignment="1">
      <x:alignment vertical="top" wrapText="1"/>
    </x:xf>
    <x:xf numFmtId="0" fontId="9" fillId="0" borderId="22" xfId="1" applyFont="1" applyBorder="1" applyAlignment="1">
      <x:alignment vertical="top" wrapText="1"/>
    </x:xf>
    <x:xf numFmtId="0" fontId="9" fillId="0" borderId="23" xfId="1" applyFont="1" applyBorder="1" applyAlignment="1">
      <x:alignment vertical="top" wrapText="1"/>
    </x:xf>
    <x:xf numFmtId="164" fontId="9" fillId="0" borderId="17" xfId="1" applyNumberFormat="1" applyFont="1" applyBorder="1" applyAlignment="1">
      <x:alignment vertical="top" wrapText="1"/>
    </x:xf>
    <x:xf numFmtId="164" fontId="9" fillId="0" borderId="0" xfId="1" applyNumberFormat="1" applyFont="1" applyAlignment="1">
      <x:alignment vertical="top" wrapText="1"/>
    </x:xf>
    <x:xf numFmtId="164" fontId="9" fillId="0" borderId="22" xfId="1" applyNumberFormat="1" applyFont="1" applyBorder="1" applyAlignment="1">
      <x:alignment vertical="top" wrapText="1"/>
    </x:xf>
    <x:xf numFmtId="0" fontId="10" fillId="12" borderId="24" xfId="1" applyFont="1" applyFill="1" applyBorder="1"/>
    <x:xf numFmtId="0" fontId="10" fillId="12" borderId="25" xfId="1" applyFont="1" applyFill="1" applyBorder="1"/>
    <x:xf numFmtId="0" fontId="10" fillId="12" borderId="26" xfId="1" applyFont="1" applyFill="1" applyBorder="1"/>
    <x:xf numFmtId="0" fontId="13" fillId="0" borderId="26" xfId="1" applyFont="1" applyBorder="1" applyAlignment="1">
      <x:alignment horizontal="center"/>
    </x:xf>
    <x:xf numFmtId="2" fontId="13" fillId="0" borderId="24" xfId="1" applyNumberFormat="1" applyFont="1" applyBorder="1" applyAlignment="1">
      <x:alignment horizontal="center"/>
    </x:xf>
    <x:xf numFmtId="164" fontId="13" fillId="0" borderId="25" xfId="1" applyNumberFormat="1" applyFont="1" applyBorder="1" applyAlignment="1">
      <x:alignment horizontal="center"/>
    </x:xf>
    <x:xf numFmtId="0" fontId="7" fillId="18" borderId="27" xfId="1" applyFont="1" applyFill="1" applyBorder="1" applyAlignment="1">
      <x:alignment horizontal="center" vertical="center"/>
    </x:xf>
    <x:xf numFmtId="0" fontId="4" fillId="0" borderId="30" xfId="1" applyFont="1" applyBorder="1" applyAlignment="1">
      <x:alignment vertical="center" wrapText="1"/>
    </x:xf>
    <x:xf numFmtId="0" fontId="3" fillId="19" borderId="30" xfId="1" applyFont="1" applyFill="1" applyBorder="1" applyAlignment="1">
      <x:alignment horizontal="center"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14" fillId="20" borderId="27" xfId="1" applyFont="1" applyFill="1" applyBorder="1" applyAlignment="1">
      <x:alignment horizontal="center" vertical="center" wrapText="1"/>
    </x:xf>
    <x:xf numFmtId="0" fontId="15" fillId="21" borderId="27" xfId="1" applyFont="1" applyFill="1" applyBorder="1" applyAlignment="1">
      <x:alignment horizontal="center" vertical="center" wrapText="1"/>
    </x:xf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vertical="center" wrapText="1"/>
    </x:xf>
    <x:xf numFmtId="0" fontId="3" fillId="4" borderId="0" xfId="1" applyFont="1" applyFill="1" applyAlignment="1">
      <x:alignment horizontal="left" vertical="center"/>
    </x:xf>
    <x:xf numFmtId="0" fontId="5" fillId="3" borderId="1" xfId="1" applyFont="1" applyFill="1" applyBorder="1" applyAlignment="1">
      <x:alignment horizontal="center" vertical="center" wrapText="1"/>
    </x:xf>
    <x:xf numFmtId="0" fontId="5" fillId="3" borderId="2" xfId="1" applyFont="1" applyFill="1" applyBorder="1" applyAlignment="1">
      <x:alignment horizontal="center" vertical="center" wrapText="1"/>
    </x:xf>
    <x:xf numFmtId="0" fontId="6" fillId="5" borderId="7" xfId="1" applyFont="1" applyFill="1" applyBorder="1" applyAlignment="1">
      <x:alignment horizontal="center" vertical="center"/>
    </x:xf>
    <x:xf numFmtId="0" fontId="6" fillId="5" borderId="8" xfId="1" applyFont="1" applyFill="1" applyBorder="1" applyAlignment="1">
      <x:alignment horizontal="center" vertical="center"/>
    </x:xf>
    <x:xf numFmtId="164" fontId="6" fillId="5" borderId="7" xfId="1" applyNumberFormat="1" applyFont="1" applyFill="1" applyBorder="1" applyAlignment="1">
      <x:alignment horizontal="center" vertical="center"/>
    </x:xf>
    <x:xf numFmtId="2" fontId="6" fillId="5" borderId="7" xfId="1" applyNumberFormat="1" applyFont="1" applyFill="1" applyBorder="1" applyAlignment="1">
      <x:alignment horizontal="center" vertical="center"/>
    </x:xf>
    <x:xf numFmtId="0" fontId="4" fillId="0" borderId="7" xfId="1" applyFont="1" applyBorder="1" applyAlignment="1">
      <x:alignment vertical="center" wrapText="1"/>
    </x:xf>
    <x:xf numFmtId="0" fontId="4" fillId="0" borderId="14" xfId="1" applyFont="1" applyBorder="1" applyAlignment="1">
      <x:alignment vertical="center" wrapText="1"/>
    </x:xf>
    <x:xf numFmtId="0" fontId="4" fillId="0" borderId="8" xfId="1" applyFont="1" applyBorder="1" applyAlignment="1">
      <x:alignment vertical="center" wrapText="1"/>
    </x:xf>
    <x:xf numFmtId="164" fontId="10" fillId="3" borderId="14" xfId="1" applyNumberFormat="1" applyFont="1" applyFill="1" applyBorder="1" applyAlignment="1">
      <x:alignment wrapText="1"/>
    </x:xf>
    <x:xf numFmtId="164" fontId="10" fillId="3" borderId="8" xfId="1" applyNumberFormat="1" applyFont="1" applyFill="1" applyBorder="1" applyAlignment="1">
      <x:alignment wrapText="1"/>
    </x:xf>
    <x:xf numFmtId="0" fontId="10" fillId="3" borderId="14" xfId="1" applyFont="1" applyFill="1" applyBorder="1" applyAlignment="1">
      <x:alignment wrapText="1"/>
    </x:xf>
    <x:xf numFmtId="0" fontId="10" fillId="3" borderId="8" xfId="1" applyFont="1" applyFill="1" applyBorder="1" applyAlignment="1">
      <x:alignment wrapText="1"/>
    </x:xf>
    <x:xf numFmtId="0" fontId="11" fillId="3" borderId="0" xfId="1" applyFont="1" applyFill="1" applyAlignment="1">
      <x:alignment wrapText="1"/>
    </x:xf>
    <x:xf numFmtId="0" fontId="1" fillId="9" borderId="0" xfId="1" applyFont="1" applyFill="1" applyAlignment="1">
      <x:alignment vertical="center"/>
    </x:xf>
    <x:xf numFmtId="0" fontId="1" fillId="11" borderId="0" xfId="1" applyFont="1" applyFill="1" applyAlignment="1">
      <x:alignment vertical="center"/>
    </x:xf>
    <x:xf numFmtId="0" fontId="11" fillId="12" borderId="0" xfId="1" applyFont="1" applyFill="1" applyAlignment="1">
      <x:alignment vertical="center"/>
    </x:xf>
    <x:xf numFmtId="0" fontId="3" fillId="14" borderId="0" xfId="1" applyFont="1" applyFill="1"/>
    <x:xf numFmtId="0" fontId="5" fillId="15" borderId="16" xfId="1" applyFont="1" applyFill="1" applyBorder="1" applyAlignment="1">
      <x:alignment vertical="center" wrapText="1"/>
    </x:xf>
    <x:xf numFmtId="0" fontId="5" fillId="15" borderId="17" xfId="1" applyFont="1" applyFill="1" applyBorder="1" applyAlignment="1">
      <x:alignment vertical="center" wrapText="1"/>
    </x:xf>
    <x:xf numFmtId="0" fontId="5" fillId="15" borderId="18" xfId="1" applyFont="1" applyFill="1" applyBorder="1" applyAlignment="1">
      <x:alignment vertical="center" wrapText="1"/>
    </x:xf>
    <x:xf numFmtId="0" fontId="5" fillId="15" borderId="19" xfId="1" applyFont="1" applyFill="1" applyBorder="1" applyAlignment="1">
      <x:alignment vertical="center" wrapText="1"/>
    </x:xf>
    <x:xf numFmtId="0" fontId="5" fillId="15" borderId="0" xfId="1" applyFont="1" applyFill="1" applyAlignment="1">
      <x:alignment vertical="center" wrapText="1"/>
    </x:xf>
    <x:xf numFmtId="0" fontId="5" fillId="15" borderId="20" xfId="1" applyFont="1" applyFill="1" applyBorder="1" applyAlignment="1">
      <x:alignment vertical="center" wrapText="1"/>
    </x:xf>
    <x:xf numFmtId="0" fontId="5" fillId="15" borderId="21" xfId="1" applyFont="1" applyFill="1" applyBorder="1" applyAlignment="1">
      <x:alignment vertical="center" wrapText="1"/>
    </x:xf>
    <x:xf numFmtId="0" fontId="5" fillId="15" borderId="22" xfId="1" applyFont="1" applyFill="1" applyBorder="1" applyAlignment="1">
      <x:alignment vertical="center" wrapText="1"/>
    </x:xf>
    <x:xf numFmtId="0" fontId="5" fillId="15" borderId="23" xfId="1" applyFont="1" applyFill="1" applyBorder="1" applyAlignment="1">
      <x:alignment vertical="center" wrapText="1"/>
    </x:xf>
    <x:xf numFmtId="0" fontId="5" fillId="0" borderId="28" xfId="1" applyFont="1" applyBorder="1" applyAlignment="1">
      <x:alignment vertical="center" wrapText="1"/>
    </x:xf>
    <x:xf numFmtId="0" fontId="5" fillId="0" borderId="29" xfId="1" applyFont="1" applyBorder="1" applyAlignment="1">
      <x:alignment vertical="center" wrapText="1"/>
    </x:xf>
    <x:xf numFmtId="0" fontId="4" fillId="0" borderId="30" xfId="1" applyFont="1" applyBorder="1" applyAlignment="1">
      <x:alignment vertical="center" wrapText="1"/>
    </x:xf>
    <x:xf numFmtId="0" fontId="4" fillId="0" borderId="32" xfId="1" applyFont="1" applyBorder="1" applyAlignment="1">
      <x:alignment vertical="center" wrapText="1"/>
    </x:xf>
    <x:xf numFmtId="0" fontId="4" fillId="0" borderId="31" xfId="1" applyFont="1" applyBorder="1" applyAlignment="1">
      <x:alignment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3" fillId="19" borderId="31" xfId="1" applyFont="1" applyFill="1" applyBorder="1" applyAlignment="1">
      <x:alignment horizontal="center" vertical="center" wrapText="1"/>
    </x:xf>
    <x:xf numFmtId="0" fontId="5" fillId="16" borderId="33" xfId="1" applyFont="1" applyFill="1" applyBorder="1" applyAlignment="1">
      <x:alignment horizontal="center" vertical="center" wrapText="1"/>
    </x:xf>
    <x:xf numFmtId="0" fontId="5" fillId="17" borderId="33" xfId="1" applyFont="1" applyFill="1" applyBorder="1" applyAlignment="1">
      <x:alignment horizontal="center" vertical="center" wrapText="1"/>
    </x:xf>
    <x:xf numFmtId="0" fontId="0" fillId="0" borderId="34" xfId="0" applyNumberFormat="1" applyFont="1" applyFill="1" applyBorder="1"/>
    <x:xf numFmtId="0" fontId="1" fillId="2" borderId="34" xfId="0" applyNumberFormat="1" applyFont="1" applyFill="1" applyBorder="1" applyAlignment="1">
      <x:alignment horizontal="left" vertical="center"/>
    </x:xf>
    <x:xf numFmtId="0" fontId="4" fillId="5" borderId="34" xfId="0" applyNumberFormat="1" applyFont="1" applyFill="1" applyBorder="1" applyAlignment="1">
      <x:alignment horizontal="center" vertical="center"/>
    </x:xf>
    <x:xf numFmtId="0" fontId="7" fillId="6" borderId="34" xfId="0" applyNumberFormat="1" applyFont="1" applyFill="1" applyBorder="1" applyAlignment="1">
      <x:alignment horizontal="center"/>
    </x:xf>
    <x:xf numFmtId="0" fontId="5" fillId="0" borderId="34" xfId="0" applyNumberFormat="1" applyFont="1" applyFill="1" applyBorder="1"/>
    <x:xf numFmtId="0" fontId="8" fillId="0" borderId="34" xfId="0" applyNumberFormat="1" applyFont="1" applyFill="1" applyBorder="1"/>
    <x:xf numFmtId="164" fontId="8" fillId="0" borderId="34" xfId="0" applyNumberFormat="1" applyFont="1" applyFill="1" applyBorder="1"/>
    <x:xf numFmtId="0" fontId="3" fillId="7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center"/>
    </x:xf>
    <x:xf numFmtId="165" fontId="9" fillId="0" borderId="34" xfId="0" applyNumberFormat="1" applyFont="1" applyFill="1" applyBorder="1" applyAlignment="1">
      <x:alignment vertical="center"/>
    </x:xf>
    <x:xf numFmtId="0" fontId="9" fillId="0" borderId="34" xfId="0" applyNumberFormat="1" applyFont="1" applyFill="1" applyBorder="1" applyAlignment="1">
      <x:alignment vertical="center" wrapText="1"/>
    </x:xf>
    <x:xf numFmtId="164" fontId="9" fillId="0" borderId="34" xfId="0" applyNumberFormat="1" applyFont="1" applyFill="1" applyBorder="1" applyAlignment="1">
      <x:alignment vertical="center"/>
    </x:xf>
    <x:xf numFmtId="164" fontId="10" fillId="3" borderId="34" xfId="0" applyNumberFormat="1" applyFont="1" applyFill="1" applyBorder="1" applyAlignment="1">
      <x:alignment wrapText="1"/>
    </x:xf>
    <x:xf numFmtId="2" fontId="10" fillId="3" borderId="34" xfId="0" applyNumberFormat="1" applyFont="1" applyFill="1" applyBorder="1" applyAlignment="1">
      <x:alignment wrapText="1"/>
    </x:xf>
    <x:xf numFmtId="0" fontId="9" fillId="0" borderId="34" xfId="0" applyNumberFormat="1" applyFont="1" applyFill="1" applyBorder="1" applyAlignment="1">
      <x:alignment wrapText="1"/>
    </x:xf>
    <x:xf numFmtId="165" fontId="9" fillId="0" borderId="34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 applyAlignment="1">
      <x:alignment wrapText="1"/>
    </x:xf>
    <x:xf numFmtId="164" fontId="9" fillId="0" borderId="34" xfId="0" applyNumberFormat="1" applyFont="1" applyFill="1" applyBorder="1" applyAlignment="1">
      <x:alignment vertical="center" wrapText="1"/>
    </x:xf>
    <x:xf numFmtId="164" fontId="3" fillId="4" borderId="34" xfId="0" applyNumberFormat="1" applyFont="1" applyFill="1" applyBorder="1" applyAlignment="1">
      <x:alignment horizontal="left" vertical="center" wrapText="1"/>
    </x:xf>
    <x:xf numFmtId="0" fontId="0" fillId="0" borderId="34" xfId="0" applyNumberFormat="1" applyFont="1" applyFill="1" applyBorder="1" applyAlignment="1">
      <x:alignment wrapText="1"/>
    </x:xf>
    <x:xf numFmtId="164" fontId="0" fillId="0" borderId="34" xfId="0" applyNumberFormat="1" applyFont="1" applyFill="1" applyBorder="1" applyAlignment="1">
      <x:alignment wrapText="1"/>
    </x:xf>
    <x:xf numFmtId="0" fontId="12" fillId="10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top" wrapText="1"/>
    </x:xf>
    <x:xf numFmtId="164" fontId="9" fillId="0" borderId="34" xfId="0" applyNumberFormat="1" applyFont="1" applyFill="1" applyBorder="1" applyAlignment="1">
      <x:alignment vertical="top" wrapText="1"/>
    </x:xf>
    <x:xf numFmtId="0" fontId="10" fillId="3" borderId="34" xfId="0" applyNumberFormat="1" applyFont="1" applyFill="1" applyBorder="1"/>
    <x:xf numFmtId="0" fontId="13" fillId="0" borderId="34" xfId="0" applyNumberFormat="1" applyFont="1" applyFill="1" applyBorder="1" applyAlignment="1">
      <x:alignment horizontal="center"/>
    </x:xf>
    <x:xf numFmtId="2" fontId="13" fillId="0" borderId="34" xfId="0" applyNumberFormat="1" applyFont="1" applyFill="1" applyBorder="1" applyAlignment="1">
      <x:alignment horizontal="center"/>
    </x:xf>
    <x:xf numFmtId="164" fontId="13" fillId="0" borderId="34" xfId="0" applyNumberFormat="1" applyFont="1" applyFill="1" applyBorder="1" applyAlignment="1">
      <x:alignment horizontal="center"/>
    </x:xf>
    <x:xf numFmtId="0" fontId="7" fillId="6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vertical="center" wrapText="1"/>
    </x:xf>
    <x:xf numFmtId="0" fontId="14" fillId="16" borderId="34" xfId="0" applyNumberFormat="1" applyFont="1" applyFill="1" applyBorder="1" applyAlignment="1">
      <x:alignment horizontal="center" vertical="center" wrapText="1"/>
    </x:xf>
    <x:xf numFmtId="0" fontId="15" fillId="17" borderId="34" xfId="0" applyNumberFormat="1" applyFont="1" applyFill="1" applyBorder="1" applyAlignment="1">
      <x:alignment horizontal="center" vertical="center" wrapText="1"/>
    </x:xf>
    <x:xf numFmtId="0" fontId="2" fillId="3" borderId="34" xfId="0" applyNumberFormat="1" applyFont="1" applyFill="1" applyBorder="1" applyAlignment="1">
      <x:alignment vertical="center" wrapText="1"/>
    </x:xf>
    <x:xf numFmtId="0" fontId="3" fillId="4" borderId="34" xfId="0" applyNumberFormat="1" applyFont="1" applyFill="1" applyBorder="1" applyAlignment="1">
      <x:alignment horizontal="left" vertical="center"/>
    </x:xf>
    <x:xf numFmtId="0" fontId="5" fillId="3" borderId="34" xfId="0" applyNumberFormat="1" applyFont="1" applyFill="1" applyBorder="1" applyAlignment="1">
      <x:alignment horizontal="center" vertical="center" wrapText="1"/>
    </x:xf>
    <x:xf numFmtId="0" fontId="6" fillId="5" borderId="34" xfId="0" applyNumberFormat="1" applyFont="1" applyFill="1" applyBorder="1" applyAlignment="1">
      <x:alignment horizontal="center" vertical="center"/>
    </x:xf>
    <x:xf numFmtId="164" fontId="6" fillId="5" borderId="34" xfId="0" applyNumberFormat="1" applyFont="1" applyFill="1" applyBorder="1" applyAlignment="1">
      <x:alignment horizontal="center" vertical="center"/>
    </x:xf>
    <x:xf numFmtId="2" fontId="6" fillId="5" borderId="34" xfId="0" applyNumberFormat="1" applyFont="1" applyFill="1" applyBorder="1" applyAlignment="1">
      <x:alignment horizontal="center" vertical="center"/>
    </x:xf>
    <x:xf numFmtId="0" fontId="10" fillId="3" borderId="34" xfId="0" applyNumberFormat="1" applyFont="1" applyFill="1" applyBorder="1" applyAlignment="1">
      <x:alignment wrapText="1"/>
    </x:xf>
    <x:xf numFmtId="0" fontId="11" fillId="3" borderId="3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vertical="center"/>
    </x:xf>
    <x:xf numFmtId="0" fontId="11" fillId="3" borderId="34" xfId="0" applyNumberFormat="1" applyFont="1" applyFill="1" applyBorder="1" applyAlignment="1">
      <x:alignment vertical="center"/>
    </x:xf>
    <x:xf numFmtId="0" fontId="3" fillId="4" borderId="34" xfId="0" applyNumberFormat="1" applyFont="1" applyFill="1" applyBorder="1"/>
    <x:xf numFmtId="0" fontId="5" fillId="6" borderId="34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16" borderId="34" xfId="0" applyNumberFormat="1" applyFont="1" applyFill="1" applyBorder="1" applyAlignment="1">
      <x:alignment horizontal="center" vertical="center" wrapText="1"/>
    </x:xf>
    <x:xf numFmtId="0" fontId="5" fillId="17" borderId="34" xfId="0" applyNumberFormat="1" applyFont="1" applyFill="1" applyBorder="1" applyAlignment="1">
      <x:alignment horizontal="center" vertical="center" wrapText="1"/>
    </x:xf>
    <x:xf numFmtId="164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164" fontId="9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horizontal="center" wrapText="1"/>
    </x:xf>
    <x:xf numFmtId="0" fontId="12" fillId="22" borderId="35" xfId="0" applyNumberFormat="1" applyFont="1" applyFill="1" applyBorder="1" applyAlignment="1">
      <x:alignment horizontal="center" vertical="center" wrapText="1"/>
    </x:xf>
    <x:xf numFmtId="0" fontId="0" fillId="22" borderId="34" xfId="0" applyNumberFormat="1" applyFont="1" applyFill="1" applyBorder="1" applyAlignment="1">
      <x:alignment wrapText="1"/>
    </x:xf>
    <x:xf numFmtId="0" fontId="12" fillId="22" borderId="34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horizontal="center" wrapText="1"/>
    </x:xf>
    <x:xf numFmtId="0" fontId="12" fillId="22" borderId="36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0" fontId="9" fillId="0" borderId="3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34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37" xfId="0" applyNumberFormat="1" applyFont="1" applyFill="1" applyBorder="1"/>
    <x:xf numFmtId="0" fontId="9" fillId="0" borderId="38" xfId="0" applyNumberFormat="1" applyFont="1" applyFill="1" applyBorder="1"/>
    <x:xf numFmtId="200" fontId="9" fillId="0" borderId="38" xfId="0" applyNumberFormat="1" applyFont="1" applyFill="1" applyBorder="1"/>
    <x:xf numFmtId="0" fontId="9" fillId="0" borderId="39" xfId="0" applyNumberFormat="1" applyFont="1" applyFill="1" applyBorder="1"/>
    <x:xf numFmtId="0" fontId="9" fillId="0" borderId="40" xfId="0" applyNumberFormat="1" applyFont="1" applyFill="1" applyBorder="1"/>
    <x:xf numFmtId="0" fontId="9" fillId="0" borderId="41" xfId="0" applyNumberFormat="1" applyFont="1" applyFill="1" applyBorder="1"/>
    <x:xf numFmtId="200" fontId="9" fillId="0" borderId="41" xfId="0" applyNumberFormat="1" applyFont="1" applyFill="1" applyBorder="1"/>
    <x:xf numFmtId="0" fontId="9" fillId="0" borderId="42" xfId="0" applyNumberFormat="1" applyFont="1" applyFill="1" applyBorder="1"/>
    <x:xf numFmtId="0" fontId="9" fillId="0" borderId="37" xfId="0" applyNumberFormat="1" applyFont="1" applyFill="1" applyBorder="1" applyAlignment="1">
      <x:alignment wrapText="1"/>
    </x:xf>
    <x:xf numFmtId="0" fontId="9" fillId="0" borderId="38" xfId="0" applyNumberFormat="1" applyFont="1" applyFill="1" applyBorder="1" applyAlignment="1">
      <x:alignment wrapText="1"/>
    </x:xf>
    <x:xf numFmtId="200" fontId="9" fillId="0" borderId="38" xfId="0" applyNumberFormat="1" applyFont="1" applyFill="1" applyBorder="1" applyAlignment="1">
      <x:alignment wrapText="1"/>
    </x:xf>
    <x:xf numFmtId="0" fontId="9" fillId="0" borderId="39" xfId="0" applyNumberFormat="1" applyFont="1" applyFill="1" applyBorder="1" applyAlignment="1">
      <x:alignment wrapText="1"/>
    </x:xf>
    <x:xf numFmtId="0" fontId="9" fillId="0" borderId="40" xfId="0" applyNumberFormat="1" applyFont="1" applyFill="1" applyBorder="1" applyAlignment="1">
      <x:alignment wrapText="1"/>
    </x:xf>
    <x:xf numFmtId="0" fontId="9" fillId="0" borderId="41" xfId="0" applyNumberFormat="1" applyFont="1" applyFill="1" applyBorder="1" applyAlignment="1">
      <x:alignment wrapText="1"/>
    </x:xf>
    <x:xf numFmtId="200" fontId="9" fillId="0" borderId="41" xfId="0" applyNumberFormat="1" applyFont="1" applyFill="1" applyBorder="1" applyAlignment="1">
      <x:alignment wrapText="1"/>
    </x:xf>
    <x:xf numFmtId="0" fontId="9" fillId="0" borderId="42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center" wrapText="1"/>
    </x:xf>
    <x:xf numFmtId="0" fontId="9" fillId="0" borderId="38" xfId="0" applyNumberFormat="1" applyFont="1" applyFill="1" applyBorder="1" applyAlignment="1">
      <x:alignment vertical="center" wrapText="1"/>
    </x:xf>
    <x:xf numFmtId="200" fontId="9" fillId="0" borderId="38" xfId="0" applyNumberFormat="1" applyFont="1" applyFill="1" applyBorder="1" applyAlignment="1">
      <x:alignment vertical="center" wrapText="1"/>
    </x:xf>
    <x:xf numFmtId="0" fontId="9" fillId="0" borderId="39" xfId="0" applyNumberFormat="1" applyFont="1" applyFill="1" applyBorder="1" applyAlignment="1">
      <x:alignment vertical="center" wrapText="1"/>
    </x:xf>
    <x:xf numFmtId="0" fontId="9" fillId="0" borderId="40" xfId="0" applyNumberFormat="1" applyFont="1" applyFill="1" applyBorder="1" applyAlignment="1">
      <x:alignment vertical="center" wrapText="1"/>
    </x:xf>
    <x:xf numFmtId="0" fontId="9" fillId="0" borderId="41" xfId="0" applyNumberFormat="1" applyFont="1" applyFill="1" applyBorder="1" applyAlignment="1">
      <x:alignment vertical="center" wrapText="1"/>
    </x:xf>
    <x:xf numFmtId="200" fontId="9" fillId="0" borderId="41" xfId="0" applyNumberFormat="1" applyFont="1" applyFill="1" applyBorder="1" applyAlignment="1">
      <x:alignment vertical="center" wrapText="1"/>
    </x:xf>
    <x:xf numFmtId="0" fontId="9" fillId="0" borderId="42" xfId="0" applyNumberFormat="1" applyFont="1" applyFill="1" applyBorder="1" applyAlignment="1">
      <x:alignment vertical="center" wrapText="1"/>
    </x:xf>
    <x:xf numFmtId="0" fontId="9" fillId="0" borderId="34" xfId="0" applyNumberFormat="1" applyFont="1" applyFill="1" applyBorder="1"/>
    <x:xf numFmtId="200" fontId="9" fillId="0" borderId="34" xfId="0" applyNumberFormat="1" applyFont="1" applyFill="1" applyBorder="1"/>
    <x:xf numFmtId="0" fontId="9" fillId="0" borderId="43" xfId="0" applyNumberFormat="1" applyFont="1" applyFill="1" applyBorder="1"/>
    <x:xf numFmtId="0" fontId="9" fillId="0" borderId="44" xfId="0" applyNumberFormat="1" applyFont="1" applyFill="1" applyBorder="1"/>
    <x:xf numFmtId="200" fontId="9" fillId="0" borderId="44" xfId="0" applyNumberFormat="1" applyFont="1" applyFill="1" applyBorder="1"/>
    <x:xf numFmtId="0" fontId="9" fillId="0" borderId="45" xfId="0" applyNumberFormat="1" applyFont="1" applyFill="1" applyBorder="1"/>
    <x:xf numFmtId="0" fontId="9" fillId="0" borderId="46" xfId="0" applyNumberFormat="1" applyFont="1" applyFill="1" applyBorder="1"/>
    <x:xf numFmtId="0" fontId="9" fillId="0" borderId="47" xfId="0" applyNumberFormat="1" applyFont="1" applyFill="1" applyBorder="1"/>
    <x:xf numFmtId="200" fontId="9" fillId="0" borderId="47" xfId="0" applyNumberFormat="1" applyFont="1" applyFill="1" applyBorder="1"/>
    <x:xf numFmtId="0" fontId="9" fillId="0" borderId="48" xfId="0" applyNumberFormat="1" applyFont="1" applyFill="1" applyBorder="1"/>
    <x:xf numFmtId="0" fontId="9" fillId="0" borderId="43" xfId="0" applyNumberFormat="1" applyFont="1" applyFill="1" applyBorder="1" applyAlignment="1">
      <x:alignment wrapText="1"/>
    </x:xf>
    <x:xf numFmtId="0" fontId="9" fillId="0" borderId="44" xfId="0" applyNumberFormat="1" applyFont="1" applyFill="1" applyBorder="1" applyAlignment="1">
      <x:alignment wrapText="1"/>
    </x:xf>
    <x:xf numFmtId="200" fontId="9" fillId="0" borderId="44" xfId="0" applyNumberFormat="1" applyFont="1" applyFill="1" applyBorder="1" applyAlignment="1">
      <x:alignment wrapText="1"/>
    </x:xf>
    <x:xf numFmtId="0" fontId="9" fillId="0" borderId="45" xfId="0" applyNumberFormat="1" applyFont="1" applyFill="1" applyBorder="1" applyAlignment="1">
      <x:alignment wrapText="1"/>
    </x:xf>
    <x:xf numFmtId="0" fontId="9" fillId="0" borderId="46" xfId="0" applyNumberFormat="1" applyFont="1" applyFill="1" applyBorder="1" applyAlignment="1">
      <x:alignment wrapText="1"/>
    </x:xf>
    <x:xf numFmtId="0" fontId="9" fillId="0" borderId="47" xfId="0" applyNumberFormat="1" applyFont="1" applyFill="1" applyBorder="1" applyAlignment="1">
      <x:alignment wrapText="1"/>
    </x:xf>
    <x:xf numFmtId="200" fontId="9" fillId="0" borderId="47" xfId="0" applyNumberFormat="1" applyFont="1" applyFill="1" applyBorder="1" applyAlignment="1">
      <x:alignment wrapText="1"/>
    </x:xf>
    <x:xf numFmtId="0" fontId="9" fillId="0" borderId="48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center" wrapText="1"/>
    </x:xf>
    <x:xf numFmtId="0" fontId="9" fillId="0" borderId="44" xfId="0" applyNumberFormat="1" applyFont="1" applyFill="1" applyBorder="1" applyAlignment="1">
      <x:alignment vertical="center" wrapText="1"/>
    </x:xf>
    <x:xf numFmtId="200" fontId="9" fillId="0" borderId="44" xfId="0" applyNumberFormat="1" applyFont="1" applyFill="1" applyBorder="1" applyAlignment="1">
      <x:alignment vertical="center" wrapText="1"/>
    </x:xf>
    <x:xf numFmtId="0" fontId="9" fillId="0" borderId="45" xfId="0" applyNumberFormat="1" applyFont="1" applyFill="1" applyBorder="1" applyAlignment="1">
      <x:alignment vertical="center" wrapText="1"/>
    </x:xf>
    <x:xf numFmtId="0" fontId="9" fillId="0" borderId="46" xfId="0" applyNumberFormat="1" applyFont="1" applyFill="1" applyBorder="1" applyAlignment="1">
      <x:alignment vertical="center" wrapText="1"/>
    </x:xf>
    <x:xf numFmtId="0" fontId="9" fillId="0" borderId="47" xfId="0" applyNumberFormat="1" applyFont="1" applyFill="1" applyBorder="1" applyAlignment="1">
      <x:alignment vertical="center" wrapText="1"/>
    </x:xf>
    <x:xf numFmtId="200" fontId="9" fillId="0" borderId="47" xfId="0" applyNumberFormat="1" applyFont="1" applyFill="1" applyBorder="1" applyAlignment="1">
      <x:alignment vertical="center" wrapText="1"/>
    </x:xf>
    <x:xf numFmtId="0" fontId="9" fillId="0" borderId="48" xfId="0" applyNumberFormat="1" applyFont="1" applyFill="1" applyBorder="1" applyAlignment="1">
      <x:alignment vertical="center" wrapText="1"/>
    </x:xf>
    <x:xf numFmtId="0" fontId="9" fillId="0" borderId="49" xfId="0" applyNumberFormat="1" applyFont="1" applyFill="1" applyBorder="1" applyAlignment="1">
      <x:alignment vertical="center" wrapText="1"/>
    </x:xf>
    <x:xf numFmtId="0" fontId="9" fillId="0" borderId="50" xfId="0" applyNumberFormat="1" applyFont="1" applyFill="1" applyBorder="1" applyAlignment="1">
      <x:alignment vertical="center" wrapText="1"/>
    </x:xf>
    <x:xf numFmtId="0" fontId="9" fillId="0" borderId="51" xfId="0" applyNumberFormat="1" applyFont="1" applyFill="1" applyBorder="1" applyAlignment="1">
      <x:alignment vertical="center" wrapText="1"/>
    </x:xf>
    <x:xf numFmtId="0" fontId="9" fillId="0" borderId="52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vertical="center"/>
    </x:xf>
    <x:xf numFmtId="0" fontId="0" fillId="23" borderId="34" xfId="0" applyNumberFormat="1" applyFont="1" applyFill="1" applyBorder="1"/>
    <x:xf numFmtId="0" fontId="1" fillId="23" borderId="34" xfId="0" applyNumberFormat="1" applyFont="1" applyFill="1" applyBorder="1"/>
    <x:xf numFmtId="0" fontId="1" fillId="23" borderId="34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1" fillId="24" borderId="0" xfId="0" applyNumberFormat="1" applyFont="1" applyFill="1" applyBorder="1"/>
    <x:xf numFmtId="0" fontId="11" fillId="24" borderId="0" xfId="0" applyNumberFormat="1" applyFont="1" applyFill="1" applyBorder="1" applyAlignment="1">
      <x:alignment vertical="center"/>
    </x:xf>
    <x:xf numFmtId="0" fontId="0" fillId="24" borderId="34" xfId="0" applyNumberFormat="1" applyFont="1" applyFill="1" applyBorder="1"/>
    <x:xf numFmtId="0" fontId="11" fillId="24" borderId="34" xfId="0" applyNumberFormat="1" applyFont="1" applyFill="1" applyBorder="1"/>
    <x:xf numFmtId="0" fontId="11" fillId="24" borderId="34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0" fillId="25" borderId="34" xfId="0" applyNumberFormat="1" applyFont="1" applyFill="1" applyBorder="1"/>
    <x:xf numFmtId="0" fontId="3" fillId="25" borderId="34" xfId="0" applyNumberFormat="1" applyFont="1" applyFill="1" applyBorder="1"/>
    <x:xf numFmtId="0" fontId="3" fillId="25" borderId="34" xfId="0" applyNumberFormat="1" applyFont="1" applyFill="1" applyBorder="1" applyAlignment="1">
      <x:alignment wrapText="1"/>
    </x:xf>
    <x:xf numFmtId="0" fontId="3" fillId="25" borderId="34" xfId="0" applyNumberFormat="1" applyFont="1" applyFill="1" applyBorder="1" applyAlignment="1">
      <x:alignment horizontal="center" wrapText="1"/>
    </x:xf>
    <x:xf numFmtId="0" fontId="3" fillId="25" borderId="34" xfId="0" applyNumberFormat="1" applyFont="1" applyFill="1" applyBorder="1" applyAlignment="1">
      <x:alignment horizontal="center" vertical="center" wrapText="1"/>
    </x:xf>
    <x:xf numFmtId="0" fontId="9" fillId="0" borderId="49" xfId="0" applyNumberFormat="1" applyFont="1" applyFill="1" applyBorder="1"/>
    <x:xf numFmtId="0" fontId="9" fillId="0" borderId="50" xfId="0" applyNumberFormat="1" applyFont="1" applyFill="1" applyBorder="1"/>
    <x:xf numFmtId="0" fontId="9" fillId="0" borderId="49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50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top" wrapText="1"/>
    </x:xf>
    <x:xf numFmtId="0" fontId="9" fillId="0" borderId="38" xfId="0" applyNumberFormat="1" applyFont="1" applyFill="1" applyBorder="1" applyAlignment="1">
      <x:alignment vertical="top" wrapText="1"/>
    </x:xf>
    <x:xf numFmtId="0" fontId="9" fillId="0" borderId="39" xfId="0" applyNumberFormat="1" applyFont="1" applyFill="1" applyBorder="1" applyAlignment="1">
      <x:alignment vertical="top" wrapText="1"/>
    </x:xf>
    <x:xf numFmtId="0" fontId="9" fillId="0" borderId="49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50" xfId="0" applyNumberFormat="1" applyFont="1" applyFill="1" applyBorder="1" applyAlignment="1">
      <x:alignment vertical="top" wrapText="1"/>
    </x:xf>
    <x:xf numFmtId="0" fontId="9" fillId="0" borderId="40" xfId="0" applyNumberFormat="1" applyFont="1" applyFill="1" applyBorder="1" applyAlignment="1">
      <x:alignment vertical="top" wrapText="1"/>
    </x:xf>
    <x:xf numFmtId="0" fontId="9" fillId="0" borderId="41" xfId="0" applyNumberFormat="1" applyFont="1" applyFill="1" applyBorder="1" applyAlignment="1">
      <x:alignment vertical="top" wrapText="1"/>
    </x:xf>
    <x:xf numFmtId="0" fontId="9" fillId="0" borderId="42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/>
    <x:xf numFmtId="0" fontId="9" fillId="0" borderId="52" xfId="0" applyNumberFormat="1" applyFont="1" applyFill="1" applyBorder="1"/>
    <x:xf numFmtId="0" fontId="9" fillId="0" borderId="51" xfId="0" applyNumberFormat="1" applyFont="1" applyFill="1" applyBorder="1" applyAlignment="1">
      <x:alignment wrapText="1"/>
    </x:xf>
    <x:xf numFmtId="0" fontId="9" fillId="0" borderId="52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top" wrapText="1"/>
    </x:xf>
    <x:xf numFmtId="0" fontId="9" fillId="0" borderId="44" xfId="0" applyNumberFormat="1" applyFont="1" applyFill="1" applyBorder="1" applyAlignment="1">
      <x:alignment vertical="top" wrapText="1"/>
    </x:xf>
    <x:xf numFmtId="0" fontId="9" fillId="0" borderId="45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 applyAlignment="1">
      <x:alignment vertical="top" wrapText="1"/>
    </x:xf>
    <x:xf numFmtId="0" fontId="9" fillId="0" borderId="52" xfId="0" applyNumberFormat="1" applyFont="1" applyFill="1" applyBorder="1" applyAlignment="1">
      <x:alignment vertical="top" wrapText="1"/>
    </x:xf>
    <x:xf numFmtId="0" fontId="9" fillId="0" borderId="46" xfId="0" applyNumberFormat="1" applyFont="1" applyFill="1" applyBorder="1" applyAlignment="1">
      <x:alignment vertical="top" wrapText="1"/>
    </x:xf>
    <x:xf numFmtId="0" fontId="9" fillId="0" borderId="47" xfId="0" applyNumberFormat="1" applyFont="1" applyFill="1" applyBorder="1" applyAlignment="1">
      <x:alignment vertical="top" wrapText="1"/>
    </x:xf>
    <x:xf numFmtId="0" fontId="9" fillId="0" borderId="48" xfId="0" applyNumberFormat="1" applyFont="1" applyFill="1" applyBorder="1" applyAlignment="1">
      <x:alignment vertical="top" wrapText="1"/>
    </x:xf>
    <x:xf numFmtId="164" fontId="9" fillId="0" borderId="38" xfId="0" applyNumberFormat="1" applyFont="1" applyFill="1" applyBorder="1" applyAlignment="1">
      <x:alignment vertical="top" wrapText="1"/>
    </x:xf>
    <x:xf numFmtId="164" fontId="9" fillId="0" borderId="0" xfId="0" applyNumberFormat="1" applyFont="1" applyFill="1" applyBorder="1" applyAlignment="1">
      <x:alignment vertical="top" wrapText="1"/>
    </x:xf>
    <x:xf numFmtId="164" fontId="9" fillId="0" borderId="41" xfId="0" applyNumberFormat="1" applyFont="1" applyFill="1" applyBorder="1" applyAlignment="1">
      <x:alignment vertical="top" wrapText="1"/>
    </x:xf>
    <x:xf numFmtId="164" fontId="9" fillId="0" borderId="44" xfId="0" applyNumberFormat="1" applyFont="1" applyFill="1" applyBorder="1" applyAlignment="1">
      <x:alignment vertical="top" wrapText="1"/>
    </x:xf>
    <x:xf numFmtId="164" fontId="9" fillId="0" borderId="47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0" fillId="26" borderId="34" xfId="0" applyNumberFormat="1" applyFont="1" applyFill="1" applyBorder="1"/>
    <x:xf numFmtId="0" fontId="3" fillId="26" borderId="34" xfId="0" applyNumberFormat="1" applyFont="1" applyFill="1" applyBorder="1"/>
    <x:xf numFmtId="0" fontId="10" fillId="24" borderId="0" xfId="0" applyNumberFormat="1" applyFont="1" applyFill="1" applyBorder="1"/>
    <x:xf numFmtId="0" fontId="10" fillId="24" borderId="53" xfId="0" applyNumberFormat="1" applyFont="1" applyFill="1" applyBorder="1"/>
    <x:xf numFmtId="0" fontId="10" fillId="24" borderId="54" xfId="0" applyNumberFormat="1" applyFont="1" applyFill="1" applyBorder="1"/>
    <x:xf numFmtId="0" fontId="10" fillId="24" borderId="55" xfId="0" applyNumberFormat="1" applyFont="1" applyFill="1" applyBorder="1"/>
    <x:xf numFmtId="0" fontId="10" fillId="24" borderId="34" xfId="0" applyNumberFormat="1" applyFont="1" applyFill="1" applyBorder="1"/>
    <x:xf numFmtId="0" fontId="10" fillId="24" borderId="56" xfId="0" applyNumberFormat="1" applyFont="1" applyFill="1" applyBorder="1"/>
    <x:xf numFmtId="0" fontId="10" fillId="24" borderId="57" xfId="0" applyNumberFormat="1" applyFont="1" applyFill="1" applyBorder="1"/>
    <x:xf numFmtId="0" fontId="10" fillId="24" borderId="58" xfId="0" applyNumberFormat="1" applyFont="1" applyFill="1" applyBorder="1"/>
    <x:xf numFmtId="0" fontId="17" fillId="0" borderId="0" xfId="0" applyNumberFormat="1" applyFont="1" applyFill="1" applyBorder="1"/>
    <x:xf numFmtId="0" fontId="17" fillId="0" borderId="53" xfId="0" applyNumberFormat="1" applyFont="1" applyFill="1" applyBorder="1"/>
    <x:xf numFmtId="0" fontId="17" fillId="0" borderId="54" xfId="0" applyNumberFormat="1" applyFont="1" applyFill="1" applyBorder="1"/>
    <x:xf numFmtId="0" fontId="17" fillId="0" borderId="55" xfId="0" applyNumberFormat="1" applyFont="1" applyFill="1" applyBorder="1"/>
    <x:xf numFmtId="0" fontId="17" fillId="0" borderId="53" xfId="0" applyNumberFormat="1" applyFont="1" applyFill="1" applyBorder="1" applyAlignment="1">
      <x:alignment horizontal="center"/>
    </x:xf>
    <x:xf numFmtId="0" fontId="17" fillId="0" borderId="54" xfId="0" applyNumberFormat="1" applyFont="1" applyFill="1" applyBorder="1" applyAlignment="1">
      <x:alignment horizontal="center"/>
    </x:xf>
    <x:xf numFmtId="0" fontId="17" fillId="0" borderId="55" xfId="0" applyNumberFormat="1" applyFont="1" applyFill="1" applyBorder="1" applyAlignment="1">
      <x:alignment horizontal="center"/>
    </x:xf>
    <x:xf numFmtId="0" fontId="17" fillId="0" borderId="34" xfId="0" applyNumberFormat="1" applyFont="1" applyFill="1" applyBorder="1"/>
    <x:xf numFmtId="0" fontId="17" fillId="0" borderId="56" xfId="0" applyNumberFormat="1" applyFont="1" applyFill="1" applyBorder="1"/>
    <x:xf numFmtId="0" fontId="17" fillId="0" borderId="57" xfId="0" applyNumberFormat="1" applyFont="1" applyFill="1" applyBorder="1"/>
    <x:xf numFmtId="0" fontId="17" fillId="0" borderId="58" xfId="0" applyNumberFormat="1" applyFont="1" applyFill="1" applyBorder="1"/>
    <x:xf numFmtId="0" fontId="17" fillId="0" borderId="56" xfId="0" applyNumberFormat="1" applyFont="1" applyFill="1" applyBorder="1" applyAlignment="1">
      <x:alignment horizontal="center"/>
    </x:xf>
    <x:xf numFmtId="0" fontId="17" fillId="0" borderId="57" xfId="0" applyNumberFormat="1" applyFont="1" applyFill="1" applyBorder="1" applyAlignment="1">
      <x:alignment horizontal="center"/>
    </x:xf>
    <x:xf numFmtId="0" fontId="17" fillId="0" borderId="58" xfId="0" applyNumberFormat="1" applyFont="1" applyFill="1" applyBorder="1" applyAlignment="1">
      <x:alignment horizontal="center"/>
    </x:xf>
    <x:xf numFmtId="164" fontId="17" fillId="0" borderId="53" xfId="0" applyNumberFormat="1" applyFont="1" applyFill="1" applyBorder="1" applyAlignment="1">
      <x:alignment horizontal="center"/>
    </x:xf>
    <x:xf numFmtId="164" fontId="17" fillId="0" borderId="56" xfId="0" applyNumberFormat="1" applyFont="1" applyFill="1" applyBorder="1" applyAlignment="1">
      <x:alignment horizontal="center"/>
    </x:xf>
    <x:xf numFmtId="164" fontId="17" fillId="0" borderId="54" xfId="0" applyNumberFormat="1" applyFont="1" applyFill="1" applyBorder="1" applyAlignment="1">
      <x:alignment horizontal="center"/>
    </x:xf>
    <x:xf numFmtId="164" fontId="17" fillId="0" borderId="57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37" xfId="0" applyNumberFormat="1" applyFont="1" applyFill="1" applyBorder="1"/>
    <x:xf numFmtId="0" fontId="5" fillId="27" borderId="38" xfId="0" applyNumberFormat="1" applyFont="1" applyFill="1" applyBorder="1"/>
    <x:xf numFmtId="0" fontId="5" fillId="27" borderId="39" xfId="0" applyNumberFormat="1" applyFont="1" applyFill="1" applyBorder="1"/>
    <x:xf numFmtId="0" fontId="5" fillId="27" borderId="49" xfId="0" applyNumberFormat="1" applyFont="1" applyFill="1" applyBorder="1"/>
    <x:xf numFmtId="0" fontId="5" fillId="27" borderId="50" xfId="0" applyNumberFormat="1" applyFont="1" applyFill="1" applyBorder="1"/>
    <x:xf numFmtId="0" fontId="5" fillId="27" borderId="40" xfId="0" applyNumberFormat="1" applyFont="1" applyFill="1" applyBorder="1"/>
    <x:xf numFmtId="0" fontId="5" fillId="27" borderId="41" xfId="0" applyNumberFormat="1" applyFont="1" applyFill="1" applyBorder="1"/>
    <x:xf numFmtId="0" fontId="5" fillId="27" borderId="42" xfId="0" applyNumberFormat="1" applyFont="1" applyFill="1" applyBorder="1"/>
    <x:xf numFmtId="0" fontId="5" fillId="27" borderId="37" xfId="0" applyNumberFormat="1" applyFont="1" applyFill="1" applyBorder="1" applyAlignment="1">
      <x:alignment wrapText="1"/>
    </x:xf>
    <x:xf numFmtId="0" fontId="5" fillId="27" borderId="38" xfId="0" applyNumberFormat="1" applyFont="1" applyFill="1" applyBorder="1" applyAlignment="1">
      <x:alignment wrapText="1"/>
    </x:xf>
    <x:xf numFmtId="0" fontId="5" fillId="27" borderId="39" xfId="0" applyNumberFormat="1" applyFont="1" applyFill="1" applyBorder="1" applyAlignment="1">
      <x:alignment wrapText="1"/>
    </x:xf>
    <x:xf numFmtId="0" fontId="5" fillId="27" borderId="49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wrapText="1"/>
    </x:xf>
    <x:xf numFmtId="0" fontId="5" fillId="27" borderId="50" xfId="0" applyNumberFormat="1" applyFont="1" applyFill="1" applyBorder="1" applyAlignment="1">
      <x:alignment wrapText="1"/>
    </x:xf>
    <x:xf numFmtId="0" fontId="5" fillId="27" borderId="40" xfId="0" applyNumberFormat="1" applyFont="1" applyFill="1" applyBorder="1" applyAlignment="1">
      <x:alignment wrapText="1"/>
    </x:xf>
    <x:xf numFmtId="0" fontId="5" fillId="27" borderId="41" xfId="0" applyNumberFormat="1" applyFont="1" applyFill="1" applyBorder="1" applyAlignment="1">
      <x:alignment wrapText="1"/>
    </x:xf>
    <x:xf numFmtId="0" fontId="5" fillId="27" borderId="42" xfId="0" applyNumberFormat="1" applyFont="1" applyFill="1" applyBorder="1" applyAlignment="1">
      <x:alignment wrapText="1"/>
    </x:xf>
    <x:xf numFmtId="0" fontId="5" fillId="27" borderId="37" xfId="0" applyNumberFormat="1" applyFont="1" applyFill="1" applyBorder="1" applyAlignment="1">
      <x:alignment vertical="center" wrapText="1"/>
    </x:xf>
    <x:xf numFmtId="0" fontId="5" fillId="27" borderId="38" xfId="0" applyNumberFormat="1" applyFont="1" applyFill="1" applyBorder="1" applyAlignment="1">
      <x:alignment vertical="center" wrapText="1"/>
    </x:xf>
    <x:xf numFmtId="0" fontId="5" fillId="27" borderId="39" xfId="0" applyNumberFormat="1" applyFont="1" applyFill="1" applyBorder="1" applyAlignment="1">
      <x:alignment vertical="center" wrapText="1"/>
    </x:xf>
    <x:xf numFmtId="0" fontId="5" fillId="27" borderId="49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5" fillId="27" borderId="50" xfId="0" applyNumberFormat="1" applyFont="1" applyFill="1" applyBorder="1" applyAlignment="1">
      <x:alignment vertical="center" wrapText="1"/>
    </x:xf>
    <x:xf numFmtId="0" fontId="5" fillId="27" borderId="40" xfId="0" applyNumberFormat="1" applyFont="1" applyFill="1" applyBorder="1" applyAlignment="1">
      <x:alignment vertical="center" wrapText="1"/>
    </x:xf>
    <x:xf numFmtId="0" fontId="5" fillId="27" borderId="41" xfId="0" applyNumberFormat="1" applyFont="1" applyFill="1" applyBorder="1" applyAlignment="1">
      <x:alignment vertical="center" wrapText="1"/>
    </x:xf>
    <x:xf numFmtId="0" fontId="5" fillId="27" borderId="42" xfId="0" applyNumberFormat="1" applyFont="1" applyFill="1" applyBorder="1" applyAlignment="1">
      <x:alignment vertical="center" wrapText="1"/>
    </x:xf>
    <x:xf numFmtId="0" fontId="0" fillId="27" borderId="34" xfId="0" applyNumberFormat="1" applyFont="1" applyFill="1" applyBorder="1"/>
    <x:xf numFmtId="0" fontId="5" fillId="27" borderId="34" xfId="0" applyNumberFormat="1" applyFont="1" applyFill="1" applyBorder="1"/>
    <x:xf numFmtId="0" fontId="5" fillId="27" borderId="43" xfId="0" applyNumberFormat="1" applyFont="1" applyFill="1" applyBorder="1"/>
    <x:xf numFmtId="0" fontId="5" fillId="27" borderId="44" xfId="0" applyNumberFormat="1" applyFont="1" applyFill="1" applyBorder="1"/>
    <x:xf numFmtId="0" fontId="5" fillId="27" borderId="45" xfId="0" applyNumberFormat="1" applyFont="1" applyFill="1" applyBorder="1"/>
    <x:xf numFmtId="0" fontId="5" fillId="27" borderId="51" xfId="0" applyNumberFormat="1" applyFont="1" applyFill="1" applyBorder="1"/>
    <x:xf numFmtId="0" fontId="5" fillId="27" borderId="52" xfId="0" applyNumberFormat="1" applyFont="1" applyFill="1" applyBorder="1"/>
    <x:xf numFmtId="0" fontId="5" fillId="27" borderId="46" xfId="0" applyNumberFormat="1" applyFont="1" applyFill="1" applyBorder="1"/>
    <x:xf numFmtId="0" fontId="5" fillId="27" borderId="47" xfId="0" applyNumberFormat="1" applyFont="1" applyFill="1" applyBorder="1"/>
    <x:xf numFmtId="0" fontId="5" fillId="27" borderId="48" xfId="0" applyNumberFormat="1" applyFont="1" applyFill="1" applyBorder="1"/>
    <x:xf numFmtId="0" fontId="5" fillId="27" borderId="43" xfId="0" applyNumberFormat="1" applyFont="1" applyFill="1" applyBorder="1" applyAlignment="1">
      <x:alignment wrapText="1"/>
    </x:xf>
    <x:xf numFmtId="0" fontId="5" fillId="27" borderId="44" xfId="0" applyNumberFormat="1" applyFont="1" applyFill="1" applyBorder="1" applyAlignment="1">
      <x:alignment wrapText="1"/>
    </x:xf>
    <x:xf numFmtId="0" fontId="5" fillId="27" borderId="45" xfId="0" applyNumberFormat="1" applyFont="1" applyFill="1" applyBorder="1" applyAlignment="1">
      <x:alignment wrapText="1"/>
    </x:xf>
    <x:xf numFmtId="0" fontId="5" fillId="27" borderId="51" xfId="0" applyNumberFormat="1" applyFont="1" applyFill="1" applyBorder="1" applyAlignment="1">
      <x:alignment wrapText="1"/>
    </x:xf>
    <x:xf numFmtId="0" fontId="5" fillId="27" borderId="34" xfId="0" applyNumberFormat="1" applyFont="1" applyFill="1" applyBorder="1" applyAlignment="1">
      <x:alignment wrapText="1"/>
    </x:xf>
    <x:xf numFmtId="0" fontId="5" fillId="27" borderId="52" xfId="0" applyNumberFormat="1" applyFont="1" applyFill="1" applyBorder="1" applyAlignment="1">
      <x:alignment wrapText="1"/>
    </x:xf>
    <x:xf numFmtId="0" fontId="5" fillId="27" borderId="46" xfId="0" applyNumberFormat="1" applyFont="1" applyFill="1" applyBorder="1" applyAlignment="1">
      <x:alignment wrapText="1"/>
    </x:xf>
    <x:xf numFmtId="0" fontId="5" fillId="27" borderId="47" xfId="0" applyNumberFormat="1" applyFont="1" applyFill="1" applyBorder="1" applyAlignment="1">
      <x:alignment wrapText="1"/>
    </x:xf>
    <x:xf numFmtId="0" fontId="5" fillId="27" borderId="48" xfId="0" applyNumberFormat="1" applyFont="1" applyFill="1" applyBorder="1" applyAlignment="1">
      <x:alignment wrapText="1"/>
    </x:xf>
    <x:xf numFmtId="0" fontId="5" fillId="27" borderId="43" xfId="0" applyNumberFormat="1" applyFont="1" applyFill="1" applyBorder="1" applyAlignment="1">
      <x:alignment vertical="center" wrapText="1"/>
    </x:xf>
    <x:xf numFmtId="0" fontId="5" fillId="27" borderId="44" xfId="0" applyNumberFormat="1" applyFont="1" applyFill="1" applyBorder="1" applyAlignment="1">
      <x:alignment vertical="center" wrapText="1"/>
    </x:xf>
    <x:xf numFmtId="0" fontId="5" fillId="27" borderId="45" xfId="0" applyNumberFormat="1" applyFont="1" applyFill="1" applyBorder="1" applyAlignment="1">
      <x:alignment vertical="center" wrapText="1"/>
    </x:xf>
    <x:xf numFmtId="0" fontId="5" fillId="27" borderId="51" xfId="0" applyNumberFormat="1" applyFont="1" applyFill="1" applyBorder="1" applyAlignment="1">
      <x:alignment vertical="center" wrapText="1"/>
    </x:xf>
    <x:xf numFmtId="0" fontId="5" fillId="27" borderId="34" xfId="0" applyNumberFormat="1" applyFont="1" applyFill="1" applyBorder="1" applyAlignment="1">
      <x:alignment vertical="center" wrapText="1"/>
    </x:xf>
    <x:xf numFmtId="0" fontId="5" fillId="27" borderId="52" xfId="0" applyNumberFormat="1" applyFont="1" applyFill="1" applyBorder="1" applyAlignment="1">
      <x:alignment vertical="center" wrapText="1"/>
    </x:xf>
    <x:xf numFmtId="0" fontId="5" fillId="27" borderId="46" xfId="0" applyNumberFormat="1" applyFont="1" applyFill="1" applyBorder="1" applyAlignment="1">
      <x:alignment vertical="center" wrapText="1"/>
    </x:xf>
    <x:xf numFmtId="0" fontId="5" fillId="27" borderId="47" xfId="0" applyNumberFormat="1" applyFont="1" applyFill="1" applyBorder="1" applyAlignment="1">
      <x:alignment vertical="center" wrapText="1"/>
    </x:xf>
    <x:xf numFmtId="0" fontId="5" fillId="27" borderId="4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7" xfId="0" applyNumberFormat="1" applyFont="1" applyFill="1" applyBorder="1"/>
    <x:xf numFmtId="0" fontId="4" fillId="0" borderId="38" xfId="0" applyNumberFormat="1" applyFont="1" applyFill="1" applyBorder="1"/>
    <x:xf numFmtId="0" fontId="4" fillId="0" borderId="39" xfId="0" applyNumberFormat="1" applyFont="1" applyFill="1" applyBorder="1"/>
    <x:xf numFmtId="0" fontId="4" fillId="0" borderId="49" xfId="0" applyNumberFormat="1" applyFont="1" applyFill="1" applyBorder="1"/>
    <x:xf numFmtId="0" fontId="4" fillId="0" borderId="50" xfId="0" applyNumberFormat="1" applyFont="1" applyFill="1" applyBorder="1"/>
    <x:xf numFmtId="0" fontId="4" fillId="0" borderId="40" xfId="0" applyNumberFormat="1" applyFont="1" applyFill="1" applyBorder="1"/>
    <x:xf numFmtId="0" fontId="4" fillId="0" borderId="41" xfId="0" applyNumberFormat="1" applyFont="1" applyFill="1" applyBorder="1"/>
    <x:xf numFmtId="0" fontId="4" fillId="0" borderId="42" xfId="0" applyNumberFormat="1" applyFont="1" applyFill="1" applyBorder="1"/>
    <x:xf numFmtId="0" fontId="4" fillId="0" borderId="37" xfId="0" applyNumberFormat="1" applyFont="1" applyFill="1" applyBorder="1" applyAlignment="1">
      <x:alignment wrapText="1"/>
    </x:xf>
    <x:xf numFmtId="0" fontId="4" fillId="0" borderId="38" xfId="0" applyNumberFormat="1" applyFont="1" applyFill="1" applyBorder="1" applyAlignment="1">
      <x:alignment wrapText="1"/>
    </x:xf>
    <x:xf numFmtId="0" fontId="4" fillId="0" borderId="39" xfId="0" applyNumberFormat="1" applyFont="1" applyFill="1" applyBorder="1" applyAlignment="1">
      <x:alignment wrapText="1"/>
    </x:xf>
    <x:xf numFmtId="0" fontId="4" fillId="0" borderId="49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0" xfId="0" applyNumberFormat="1" applyFont="1" applyFill="1" applyBorder="1" applyAlignment="1">
      <x:alignment wrapText="1"/>
    </x:xf>
    <x:xf numFmtId="0" fontId="4" fillId="0" borderId="40" xfId="0" applyNumberFormat="1" applyFont="1" applyFill="1" applyBorder="1" applyAlignment="1">
      <x:alignment wrapText="1"/>
    </x:xf>
    <x:xf numFmtId="0" fontId="4" fillId="0" borderId="41" xfId="0" applyNumberFormat="1" applyFont="1" applyFill="1" applyBorder="1" applyAlignment="1">
      <x:alignment wrapText="1"/>
    </x:xf>
    <x:xf numFmtId="0" fontId="4" fillId="0" borderId="42" xfId="0" applyNumberFormat="1" applyFont="1" applyFill="1" applyBorder="1" applyAlignment="1">
      <x:alignment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38" xfId="0" applyNumberFormat="1" applyFont="1" applyFill="1" applyBorder="1" applyAlignment="1">
      <x:alignment vertical="center" wrapText="1"/>
    </x:xf>
    <x:xf numFmtId="0" fontId="4" fillId="0" borderId="39" xfId="0" applyNumberFormat="1" applyFont="1" applyFill="1" applyBorder="1" applyAlignment="1">
      <x:alignment vertical="center" wrapText="1"/>
    </x:xf>
    <x:xf numFmtId="0" fontId="4" fillId="0" borderId="4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0" xfId="0" applyNumberFormat="1" applyFont="1" applyFill="1" applyBorder="1" applyAlignment="1">
      <x:alignment vertical="center" wrapText="1"/>
    </x:xf>
    <x:xf numFmtId="0" fontId="4" fillId="0" borderId="40" xfId="0" applyNumberFormat="1" applyFont="1" applyFill="1" applyBorder="1" applyAlignment="1">
      <x:alignment vertical="center" wrapText="1"/>
    </x:xf>
    <x:xf numFmtId="0" fontId="4" fillId="0" borderId="41" xfId="0" applyNumberFormat="1" applyFont="1" applyFill="1" applyBorder="1" applyAlignment="1">
      <x:alignment vertical="center" wrapText="1"/>
    </x:xf>
    <x:xf numFmtId="0" fontId="4" fillId="0" borderId="42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/>
    <x:xf numFmtId="0" fontId="4" fillId="0" borderId="43" xfId="0" applyNumberFormat="1" applyFont="1" applyFill="1" applyBorder="1"/>
    <x:xf numFmtId="0" fontId="4" fillId="0" borderId="44" xfId="0" applyNumberFormat="1" applyFont="1" applyFill="1" applyBorder="1"/>
    <x:xf numFmtId="0" fontId="4" fillId="0" borderId="45" xfId="0" applyNumberFormat="1" applyFont="1" applyFill="1" applyBorder="1"/>
    <x:xf numFmtId="0" fontId="4" fillId="0" borderId="51" xfId="0" applyNumberFormat="1" applyFont="1" applyFill="1" applyBorder="1"/>
    <x:xf numFmtId="0" fontId="4" fillId="0" borderId="52" xfId="0" applyNumberFormat="1" applyFont="1" applyFill="1" applyBorder="1"/>
    <x:xf numFmtId="0" fontId="4" fillId="0" borderId="46" xfId="0" applyNumberFormat="1" applyFont="1" applyFill="1" applyBorder="1"/>
    <x:xf numFmtId="0" fontId="4" fillId="0" borderId="47" xfId="0" applyNumberFormat="1" applyFont="1" applyFill="1" applyBorder="1"/>
    <x:xf numFmtId="0" fontId="4" fillId="0" borderId="48" xfId="0" applyNumberFormat="1" applyFont="1" applyFill="1" applyBorder="1"/>
    <x:xf numFmtId="0" fontId="4" fillId="0" borderId="43" xfId="0" applyNumberFormat="1" applyFont="1" applyFill="1" applyBorder="1" applyAlignment="1">
      <x:alignment wrapText="1"/>
    </x:xf>
    <x:xf numFmtId="0" fontId="4" fillId="0" borderId="44" xfId="0" applyNumberFormat="1" applyFont="1" applyFill="1" applyBorder="1" applyAlignment="1">
      <x:alignment wrapText="1"/>
    </x:xf>
    <x:xf numFmtId="0" fontId="4" fillId="0" borderId="45" xfId="0" applyNumberFormat="1" applyFont="1" applyFill="1" applyBorder="1" applyAlignment="1">
      <x:alignment wrapText="1"/>
    </x:xf>
    <x:xf numFmtId="0" fontId="4" fillId="0" borderId="51" xfId="0" applyNumberFormat="1" applyFont="1" applyFill="1" applyBorder="1" applyAlignment="1">
      <x:alignment wrapText="1"/>
    </x:xf>
    <x:xf numFmtId="0" fontId="4" fillId="0" borderId="52" xfId="0" applyNumberFormat="1" applyFont="1" applyFill="1" applyBorder="1" applyAlignment="1">
      <x:alignment wrapText="1"/>
    </x:xf>
    <x:xf numFmtId="0" fontId="4" fillId="0" borderId="46" xfId="0" applyNumberFormat="1" applyFont="1" applyFill="1" applyBorder="1" applyAlignment="1">
      <x:alignment wrapText="1"/>
    </x:xf>
    <x:xf numFmtId="0" fontId="4" fillId="0" borderId="47" xfId="0" applyNumberFormat="1" applyFont="1" applyFill="1" applyBorder="1" applyAlignment="1">
      <x:alignment wrapText="1"/>
    </x:xf>
    <x:xf numFmtId="0" fontId="4" fillId="0" borderId="48" xfId="0" applyNumberFormat="1" applyFont="1" applyFill="1" applyBorder="1" applyAlignment="1">
      <x:alignment wrapText="1"/>
    </x:xf>
    <x:xf numFmtId="0" fontId="4" fillId="0" borderId="43" xfId="0" applyNumberFormat="1" applyFont="1" applyFill="1" applyBorder="1" applyAlignment="1">
      <x:alignment vertical="center" wrapText="1"/>
    </x:xf>
    <x:xf numFmtId="0" fontId="4" fillId="0" borderId="44" xfId="0" applyNumberFormat="1" applyFont="1" applyFill="1" applyBorder="1" applyAlignment="1">
      <x:alignment vertical="center" wrapText="1"/>
    </x:xf>
    <x:xf numFmtId="0" fontId="4" fillId="0" borderId="45" xfId="0" applyNumberFormat="1" applyFont="1" applyFill="1" applyBorder="1" applyAlignment="1">
      <x:alignment vertical="center" wrapText="1"/>
    </x:xf>
    <x:xf numFmtId="0" fontId="4" fillId="0" borderId="51" xfId="0" applyNumberFormat="1" applyFont="1" applyFill="1" applyBorder="1" applyAlignment="1">
      <x:alignment vertical="center" wrapText="1"/>
    </x:xf>
    <x:xf numFmtId="0" fontId="4" fillId="0" borderId="52" xfId="0" applyNumberFormat="1" applyFont="1" applyFill="1" applyBorder="1" applyAlignment="1">
      <x:alignment vertical="center" wrapText="1"/>
    </x:xf>
    <x:xf numFmtId="0" fontId="4" fillId="0" borderId="46" xfId="0" applyNumberFormat="1" applyFont="1" applyFill="1" applyBorder="1" applyAlignment="1">
      <x:alignment vertical="center" wrapText="1"/>
    </x:xf>
    <x:xf numFmtId="0" fontId="4" fillId="0" borderId="47" xfId="0" applyNumberFormat="1" applyFont="1" applyFill="1" applyBorder="1" applyAlignment="1">
      <x:alignment vertical="center" wrapText="1"/>
    </x:xf>
    <x:xf numFmtId="0" fontId="4" fillId="0" borderId="48" xfId="0" applyNumberFormat="1" applyFont="1" applyFill="1" applyBorder="1" applyAlignment="1">
      <x:alignment vertical="center" wrapText="1"/>
    </x:xf>
    <x:xf numFmtId="0" fontId="7" fillId="27" borderId="0" xfId="0" applyNumberFormat="1" applyFont="1" applyFill="1" applyBorder="1"/>
    <x:xf numFmtId="0" fontId="7" fillId="27" borderId="35" xfId="0" applyNumberFormat="1" applyFont="1" applyFill="1" applyBorder="1"/>
    <x:xf numFmtId="0" fontId="7" fillId="27" borderId="35" xfId="0" applyNumberFormat="1" applyFont="1" applyFill="1" applyBorder="1" applyAlignment="1">
      <x:alignment horizontal="center"/>
    </x:xf>
    <x:xf numFmtId="0" fontId="7" fillId="27" borderId="35" xfId="0" applyNumberFormat="1" applyFont="1" applyFill="1" applyBorder="1" applyAlignment="1">
      <x:alignment horizontal="center" vertical="center"/>
    </x:xf>
    <x:xf numFmtId="0" fontId="7" fillId="27" borderId="34" xfId="0" applyNumberFormat="1" applyFont="1" applyFill="1" applyBorder="1"/>
    <x:xf numFmtId="0" fontId="7" fillId="27" borderId="36" xfId="0" applyNumberFormat="1" applyFont="1" applyFill="1" applyBorder="1"/>
    <x:xf numFmtId="0" fontId="7" fillId="27" borderId="36" xfId="0" applyNumberFormat="1" applyFont="1" applyFill="1" applyBorder="1" applyAlignment="1">
      <x:alignment horizontal="center"/>
    </x:xf>
    <x:xf numFmtId="0" fontId="7" fillId="27" borderId="3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59" xfId="0" applyNumberFormat="1" applyFont="1" applyFill="1" applyBorder="1"/>
    <x:xf numFmtId="0" fontId="5" fillId="0" borderId="60" xfId="0" applyNumberFormat="1" applyFont="1" applyFill="1" applyBorder="1"/>
    <x:xf numFmtId="0" fontId="5" fillId="0" borderId="59" xfId="0" applyNumberFormat="1" applyFont="1" applyFill="1" applyBorder="1" applyAlignment="1">
      <x:alignment wrapText="1"/>
    </x:xf>
    <x:xf numFmtId="0" fontId="5" fillId="0" borderId="60" xfId="0" applyNumberFormat="1" applyFont="1" applyFill="1" applyBorder="1" applyAlignment="1">
      <x:alignment wrapText="1"/>
    </x:xf>
    <x:xf numFmtId="0" fontId="5" fillId="0" borderId="59" xfId="0" applyNumberFormat="1" applyFont="1" applyFill="1" applyBorder="1" applyAlignment="1">
      <x:alignment vertical="center" wrapText="1"/>
    </x:xf>
    <x:xf numFmtId="0" fontId="5" fillId="0" borderId="60" xfId="0" applyNumberFormat="1" applyFont="1" applyFill="1" applyBorder="1" applyAlignment="1">
      <x:alignment vertical="center" wrapText="1"/>
    </x:xf>
    <x:xf numFmtId="0" fontId="5" fillId="0" borderId="61" xfId="0" applyNumberFormat="1" applyFont="1" applyFill="1" applyBorder="1"/>
    <x:xf numFmtId="0" fontId="5" fillId="0" borderId="62" xfId="0" applyNumberFormat="1" applyFont="1" applyFill="1" applyBorder="1"/>
    <x:xf numFmtId="0" fontId="5" fillId="0" borderId="61" xfId="0" applyNumberFormat="1" applyFont="1" applyFill="1" applyBorder="1" applyAlignment="1">
      <x:alignment wrapText="1"/>
    </x:xf>
    <x:xf numFmtId="0" fontId="5" fillId="0" borderId="62" xfId="0" applyNumberFormat="1" applyFont="1" applyFill="1" applyBorder="1" applyAlignment="1">
      <x:alignment wrapText="1"/>
    </x:xf>
    <x:xf numFmtId="0" fontId="5" fillId="0" borderId="61" xfId="0" applyNumberFormat="1" applyFont="1" applyFill="1" applyBorder="1" applyAlignment="1">
      <x:alignment vertical="center" wrapText="1"/>
    </x:xf>
    <x:xf numFmtId="0" fontId="5" fillId="0" borderId="62" xfId="0" applyNumberFormat="1" applyFont="1" applyFill="1" applyBorder="1" applyAlignment="1">
      <x:alignment vertical="center" wrapText="1"/>
    </x:xf>
    <x:xf numFmtId="0" fontId="4" fillId="0" borderId="59" xfId="0" applyNumberFormat="1" applyFont="1" applyFill="1" applyBorder="1"/>
    <x:xf numFmtId="0" fontId="4" fillId="0" borderId="63" xfId="0" applyNumberFormat="1" applyFont="1" applyFill="1" applyBorder="1"/>
    <x:xf numFmtId="0" fontId="4" fillId="0" borderId="60" xfId="0" applyNumberFormat="1" applyFont="1" applyFill="1" applyBorder="1"/>
    <x:xf numFmtId="0" fontId="4" fillId="0" borderId="59" xfId="0" applyNumberFormat="1" applyFont="1" applyFill="1" applyBorder="1" applyAlignment="1">
      <x:alignment wrapText="1"/>
    </x:xf>
    <x:xf numFmtId="0" fontId="4" fillId="0" borderId="63" xfId="0" applyNumberFormat="1" applyFont="1" applyFill="1" applyBorder="1" applyAlignment="1">
      <x:alignment wrapText="1"/>
    </x:xf>
    <x:xf numFmtId="0" fontId="4" fillId="0" borderId="60" xfId="0" applyNumberFormat="1" applyFont="1" applyFill="1" applyBorder="1" applyAlignment="1">
      <x:alignment wrapText="1"/>
    </x:xf>
    <x:xf numFmtId="0" fontId="4" fillId="0" borderId="59" xfId="0" applyNumberFormat="1" applyFont="1" applyFill="1" applyBorder="1" applyAlignment="1">
      <x:alignment vertical="center" wrapText="1"/>
    </x:xf>
    <x:xf numFmtId="0" fontId="4" fillId="0" borderId="63" xfId="0" applyNumberFormat="1" applyFont="1" applyFill="1" applyBorder="1" applyAlignment="1">
      <x:alignment vertical="center" wrapText="1"/>
    </x:xf>
    <x:xf numFmtId="0" fontId="4" fillId="0" borderId="60" xfId="0" applyNumberFormat="1" applyFont="1" applyFill="1" applyBorder="1" applyAlignment="1">
      <x:alignment vertical="center" wrapText="1"/>
    </x:xf>
    <x:xf numFmtId="0" fontId="4" fillId="0" borderId="61" xfId="0" applyNumberFormat="1" applyFont="1" applyFill="1" applyBorder="1"/>
    <x:xf numFmtId="0" fontId="4" fillId="0" borderId="64" xfId="0" applyNumberFormat="1" applyFont="1" applyFill="1" applyBorder="1"/>
    <x:xf numFmtId="0" fontId="4" fillId="0" borderId="62" xfId="0" applyNumberFormat="1" applyFont="1" applyFill="1" applyBorder="1"/>
    <x:xf numFmtId="0" fontId="4" fillId="0" borderId="61" xfId="0" applyNumberFormat="1" applyFont="1" applyFill="1" applyBorder="1" applyAlignment="1">
      <x:alignment wrapText="1"/>
    </x:xf>
    <x:xf numFmtId="0" fontId="4" fillId="0" borderId="64" xfId="0" applyNumberFormat="1" applyFont="1" applyFill="1" applyBorder="1" applyAlignment="1">
      <x:alignment wrapText="1"/>
    </x:xf>
    <x:xf numFmtId="0" fontId="4" fillId="0" borderId="62" xfId="0" applyNumberFormat="1" applyFont="1" applyFill="1" applyBorder="1" applyAlignment="1">
      <x:alignment wrapText="1"/>
    </x:xf>
    <x:xf numFmtId="0" fontId="4" fillId="0" borderId="61" xfId="0" applyNumberFormat="1" applyFont="1" applyFill="1" applyBorder="1" applyAlignment="1">
      <x:alignment vertical="center" wrapText="1"/>
    </x:xf>
    <x:xf numFmtId="0" fontId="4" fillId="0" borderId="64" xfId="0" applyNumberFormat="1" applyFont="1" applyFill="1" applyBorder="1" applyAlignment="1">
      <x:alignment vertical="center" wrapText="1"/>
    </x:xf>
    <x:xf numFmtId="0" fontId="4" fillId="0" borderId="62" xfId="0" applyNumberFormat="1" applyFont="1" applyFill="1" applyBorder="1" applyAlignment="1">
      <x:alignment vertical="center" wrapText="1"/>
    </x:xf>
    <x:xf numFmtId="201" fontId="9" fillId="0" borderId="38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1" fontId="9" fillId="0" borderId="4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164" fontId="8" fillId="0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165" fontId="9" fillId="0" borderId="0" xfId="0" applyNumberFormat="1" applyFont="1" applyFill="1" applyBorder="1" applyAlignment="1">
      <x:alignment vertical="center"/>
    </x:xf>
    <x:xf numFmtId="164" fontId="10" fillId="3" borderId="0" xfId="0" applyNumberFormat="1" applyFont="1" applyFill="1" applyBorder="1" applyAlignment="1">
      <x:alignment wrapText="1"/>
    </x:xf>
    <x:xf numFmtId="2" fontId="10" fillId="3" borderId="0" xfId="0" applyNumberFormat="1" applyFont="1" applyFill="1" applyBorder="1" applyAlignment="1">
      <x:alignment wrapText="1"/>
    </x:xf>
    <x:xf numFmtId="165" fontId="9" fillId="0" borderId="0" xfId="0" applyNumberFormat="1" applyFont="1" applyFill="1" applyBorder="1" applyAlignment="1">
      <x:alignment vertical="center" wrapText="1"/>
    </x:xf>
    <x:xf numFmtId="164" fontId="3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2" fontId="13" fillId="0" borderId="0" xfId="0" applyNumberFormat="1" applyFont="1" applyFill="1" applyBorder="1" applyAlignment="1">
      <x:alignment horizontal="center"/>
    </x:xf>
    <x:xf numFmtId="164" fontId="13" fillId="0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14" fillId="16" borderId="0" xfId="0" applyNumberFormat="1" applyFont="1" applyFill="1" applyBorder="1" applyAlignment="1">
      <x:alignment horizontal="center" vertical="center" wrapText="1"/>
    </x:xf>
    <x:xf numFmtId="0" fontId="15" fillId="17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/>
    </x:xf>
    <x:xf numFmtId="164" fontId="6" fillId="5" borderId="0" xfId="0" applyNumberFormat="1" applyFont="1" applyFill="1" applyBorder="1" applyAlignment="1">
      <x:alignment horizontal="center" vertical="center"/>
    </x:xf>
    <x:xf numFmtId="2" fontId="6" fillId="5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wrapText="1"/>
    </x:xf>
    <x:xf numFmtId="200" fontId="9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1" fillId="3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7" fillId="0" borderId="0" xfId="0" applyNumberFormat="1" applyFont="1" applyFill="1" applyBorder="1" applyAlignment="1">
      <x:alignment horizontal="center"/>
    </x:xf>
    <x:xf numFmtId="164" fontId="17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wrapText="1"/>
    </x:xf>
    <x:xf numFmtId="0" fontId="12" fillId="28" borderId="65" xfId="0" applyNumberFormat="1" applyFont="1" applyFill="1" applyBorder="1" applyAlignment="1">
      <x:alignment wrapText="1"/>
    </x:xf>
    <x:xf numFmtId="0" fontId="12" fillId="28" borderId="65" xfId="0" applyNumberFormat="1" applyFont="1" applyFill="1" applyBorder="1" applyAlignment="1">
      <x:alignment horizontal="center" wrapText="1"/>
    </x:xf>
    <x:xf numFmtId="0" fontId="12" fillId="28" borderId="65" xfId="0" applyNumberFormat="1" applyFont="1" applyFill="1" applyBorder="1" applyAlignment="1">
      <x:alignment horizontal="center" vertical="center" wrapText="1"/>
    </x:xf>
    <x:xf numFmtId="0" fontId="9" fillId="0" borderId="66" xfId="0" applyNumberFormat="1" applyFont="1" applyFill="1" applyBorder="1" applyAlignment="1">
      <x:alignment vertical="center" wrapText="1"/>
    </x:xf>
    <x:xf numFmtId="200" fontId="9" fillId="0" borderId="67" xfId="0" applyNumberFormat="1" applyFont="1" applyFill="1" applyBorder="1" applyAlignment="1">
      <x:alignment vertical="center" wrapText="1"/>
    </x:xf>
    <x:xf numFmtId="0" fontId="9" fillId="0" borderId="67" xfId="0" applyNumberFormat="1" applyFont="1" applyFill="1" applyBorder="1" applyAlignment="1">
      <x:alignment vertical="center" wrapText="1"/>
    </x:xf>
    <x:xf numFmtId="0" fontId="9" fillId="0" borderId="68" xfId="0" applyNumberFormat="1" applyFont="1" applyFill="1" applyBorder="1" applyAlignment="1">
      <x:alignment vertical="center" wrapText="1"/>
    </x:xf>
    <x:xf numFmtId="0" fontId="9" fillId="0" borderId="69" xfId="0" applyNumberFormat="1" applyFont="1" applyFill="1" applyBorder="1" applyAlignment="1">
      <x:alignment vertical="center" wrapText="1"/>
    </x:xf>
    <x:xf numFmtId="200" fontId="9" fillId="0" xfId="0" applyNumberFormat="1" applyFont="1" applyFill="1" applyBorder="0" applyAlignment="1">
      <x:alignment vertical="center" wrapText="1"/>
    </x:xf>
    <x:xf numFmtId="0" fontId="9" fillId="0" xfId="0" applyNumberFormat="1" applyFont="1" applyFill="1" applyBorder="0" applyAlignment="1">
      <x:alignment vertical="center" wrapText="1"/>
    </x:xf>
    <x:xf numFmtId="0" fontId="9" fillId="0" borderId="70" xfId="0" applyNumberFormat="1" applyFont="1" applyFill="1" applyBorder="1" applyAlignment="1">
      <x:alignment vertical="center" wrapText="1"/>
    </x:xf>
    <x:xf numFmtId="0" fontId="9" fillId="0" borderId="71" xfId="0" applyNumberFormat="1" applyFont="1" applyFill="1" applyBorder="1" applyAlignment="1">
      <x:alignment vertical="center" wrapText="1"/>
    </x:xf>
    <x:xf numFmtId="200" fontId="9" fillId="0" borderId="72" xfId="0" applyNumberFormat="1" applyFont="1" applyFill="1" applyBorder="1" applyAlignment="1">
      <x:alignment vertical="center" wrapText="1"/>
    </x:xf>
    <x:xf numFmtId="0" fontId="9" fillId="0" borderId="72" xfId="0" applyNumberFormat="1" applyFont="1" applyFill="1" applyBorder="1" applyAlignment="1">
      <x:alignment vertical="center" wrapText="1"/>
    </x:xf>
    <x:xf numFmtId="0" fontId="9" fillId="0" borderId="73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11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horizontal="center" wrapText="1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9" fillId="0" borderId="66" xfId="0" applyNumberFormat="1" applyFont="1" applyFill="1" applyBorder="1"/>
    <x:xf numFmtId="0" fontId="9" fillId="0" borderId="67" xfId="0" applyNumberFormat="1" applyFont="1" applyFill="1" applyBorder="1"/>
    <x:xf numFmtId="0" fontId="9" fillId="0" borderId="68" xfId="0" applyNumberFormat="1" applyFont="1" applyFill="1" applyBorder="1"/>
    <x:xf numFmtId="0" fontId="9" fillId="0" borderId="69" xfId="0" applyNumberFormat="1" applyFont="1" applyFill="1" applyBorder="1"/>
    <x:xf numFmtId="0" fontId="9" fillId="0" xfId="0" applyNumberFormat="1" applyFont="1" applyFill="1" applyBorder="0"/>
    <x:xf numFmtId="0" fontId="9" fillId="0" borderId="70" xfId="0" applyNumberFormat="1" applyFont="1" applyFill="1" applyBorder="1"/>
    <x:xf numFmtId="0" fontId="9" fillId="0" borderId="71" xfId="0" applyNumberFormat="1" applyFont="1" applyFill="1" applyBorder="1"/>
    <x:xf numFmtId="0" fontId="9" fillId="0" borderId="72" xfId="0" applyNumberFormat="1" applyFont="1" applyFill="1" applyBorder="1"/>
    <x:xf numFmtId="0" fontId="9" fillId="0" borderId="73" xfId="0" applyNumberFormat="1" applyFont="1" applyFill="1" applyBorder="1"/>
    <x:xf numFmtId="0" fontId="9" fillId="0" borderId="66" xfId="0" applyNumberFormat="1" applyFont="1" applyFill="1" applyBorder="1" applyAlignment="1">
      <x:alignment wrapText="1"/>
    </x:xf>
    <x:xf numFmtId="0" fontId="9" fillId="0" borderId="67" xfId="0" applyNumberFormat="1" applyFont="1" applyFill="1" applyBorder="1" applyAlignment="1">
      <x:alignment wrapText="1"/>
    </x:xf>
    <x:xf numFmtId="0" fontId="9" fillId="0" borderId="68" xfId="0" applyNumberFormat="1" applyFont="1" applyFill="1" applyBorder="1" applyAlignment="1">
      <x:alignment wrapText="1"/>
    </x:xf>
    <x:xf numFmtId="0" fontId="9" fillId="0" borderId="69" xfId="0" applyNumberFormat="1" applyFont="1" applyFill="1" applyBorder="1" applyAlignment="1">
      <x:alignment wrapText="1"/>
    </x:xf>
    <x:xf numFmtId="0" fontId="9" fillId="0" xfId="0" applyNumberFormat="1" applyFont="1" applyFill="1" applyBorder="0" applyAlignment="1">
      <x:alignment wrapText="1"/>
    </x:xf>
    <x:xf numFmtId="0" fontId="9" fillId="0" borderId="70" xfId="0" applyNumberFormat="1" applyFont="1" applyFill="1" applyBorder="1" applyAlignment="1">
      <x:alignment wrapText="1"/>
    </x:xf>
    <x:xf numFmtId="0" fontId="9" fillId="0" borderId="71" xfId="0" applyNumberFormat="1" applyFont="1" applyFill="1" applyBorder="1" applyAlignment="1">
      <x:alignment wrapText="1"/>
    </x:xf>
    <x:xf numFmtId="0" fontId="9" fillId="0" borderId="72" xfId="0" applyNumberFormat="1" applyFont="1" applyFill="1" applyBorder="1" applyAlignment="1">
      <x:alignment wrapText="1"/>
    </x:xf>
    <x:xf numFmtId="0" fontId="9" fillId="0" borderId="73" xfId="0" applyNumberFormat="1" applyFont="1" applyFill="1" applyBorder="1" applyAlignment="1">
      <x:alignment wrapText="1"/>
    </x:xf>
    <x:xf numFmtId="0" fontId="9" fillId="0" borderId="66" xfId="0" applyNumberFormat="1" applyFont="1" applyFill="1" applyBorder="1" applyAlignment="1">
      <x:alignment vertical="top" wrapText="1"/>
    </x:xf>
    <x:xf numFmtId="0" fontId="9" fillId="0" borderId="67" xfId="0" applyNumberFormat="1" applyFont="1" applyFill="1" applyBorder="1" applyAlignment="1">
      <x:alignment vertical="top" wrapText="1"/>
    </x:xf>
    <x:xf numFmtId="0" fontId="9" fillId="0" borderId="68" xfId="0" applyNumberFormat="1" applyFont="1" applyFill="1" applyBorder="1" applyAlignment="1">
      <x:alignment vertical="top" wrapText="1"/>
    </x:xf>
    <x:xf numFmtId="0" fontId="9" fillId="0" borderId="69" xfId="0" applyNumberFormat="1" applyFont="1" applyFill="1" applyBorder="1" applyAlignment="1">
      <x:alignment vertical="top" wrapText="1"/>
    </x:xf>
    <x:xf numFmtId="0" fontId="9" fillId="0" xfId="0" applyNumberFormat="1" applyFont="1" applyFill="1" applyBorder="0" applyAlignment="1">
      <x:alignment vertical="top" wrapText="1"/>
    </x:xf>
    <x:xf numFmtId="0" fontId="9" fillId="0" borderId="70" xfId="0" applyNumberFormat="1" applyFont="1" applyFill="1" applyBorder="1" applyAlignment="1">
      <x:alignment vertical="top" wrapText="1"/>
    </x:xf>
    <x:xf numFmtId="0" fontId="9" fillId="0" borderId="71" xfId="0" applyNumberFormat="1" applyFont="1" applyFill="1" applyBorder="1" applyAlignment="1">
      <x:alignment vertical="top" wrapText="1"/>
    </x:xf>
    <x:xf numFmtId="0" fontId="9" fillId="0" borderId="72" xfId="0" applyNumberFormat="1" applyFont="1" applyFill="1" applyBorder="1" applyAlignment="1">
      <x:alignment vertical="top" wrapText="1"/>
    </x:xf>
    <x:xf numFmtId="0" fontId="9" fillId="0" borderId="73" xfId="0" applyNumberFormat="1" applyFont="1" applyFill="1" applyBorder="1" applyAlignment="1">
      <x:alignment vertical="top" wrapText="1"/>
    </x:xf>
    <x:xf numFmtId="164" fontId="9" fillId="0" borderId="67" xfId="0" applyNumberFormat="1" applyFont="1" applyFill="1" applyBorder="1" applyAlignment="1">
      <x:alignment vertical="top" wrapText="1"/>
    </x:xf>
    <x:xf numFmtId="164" fontId="9" fillId="0" xfId="0" applyNumberFormat="1" applyFont="1" applyFill="1" applyBorder="0" applyAlignment="1">
      <x:alignment vertical="top" wrapText="1"/>
    </x:xf>
    <x:xf numFmtId="164" fontId="9" fillId="0" borderId="72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10" fillId="30" borderId="0" xfId="0" applyNumberFormat="1" applyFont="1" applyFill="1" applyBorder="1"/>
    <x:xf numFmtId="0" fontId="10" fillId="30" borderId="74" xfId="0" applyNumberFormat="1" applyFont="1" applyFill="1" applyBorder="1"/>
    <x:xf numFmtId="0" fontId="10" fillId="30" borderId="75" xfId="0" applyNumberFormat="1" applyFont="1" applyFill="1" applyBorder="1"/>
    <x:xf numFmtId="0" fontId="10" fillId="30" borderId="76" xfId="0" applyNumberFormat="1" applyFont="1" applyFill="1" applyBorder="1"/>
    <x:xf numFmtId="0" fontId="17" fillId="0" borderId="74" xfId="0" applyNumberFormat="1" applyFont="1" applyFill="1" applyBorder="1"/>
    <x:xf numFmtId="0" fontId="17" fillId="0" borderId="75" xfId="0" applyNumberFormat="1" applyFont="1" applyFill="1" applyBorder="1"/>
    <x:xf numFmtId="0" fontId="17" fillId="0" borderId="76" xfId="0" applyNumberFormat="1" applyFont="1" applyFill="1" applyBorder="1"/>
    <x:xf numFmtId="0" fontId="17" fillId="0" borderId="74" xfId="0" applyNumberFormat="1" applyFont="1" applyFill="1" applyBorder="1" applyAlignment="1">
      <x:alignment horizontal="center"/>
    </x:xf>
    <x:xf numFmtId="0" fontId="17" fillId="0" borderId="75" xfId="0" applyNumberFormat="1" applyFont="1" applyFill="1" applyBorder="1" applyAlignment="1">
      <x:alignment horizontal="center"/>
    </x:xf>
    <x:xf numFmtId="0" fontId="17" fillId="0" borderId="76" xfId="0" applyNumberFormat="1" applyFont="1" applyFill="1" applyBorder="1" applyAlignment="1">
      <x:alignment horizontal="center"/>
    </x:xf>
    <x:xf numFmtId="164" fontId="17" fillId="0" borderId="74" xfId="0" applyNumberFormat="1" applyFont="1" applyFill="1" applyBorder="1" applyAlignment="1">
      <x:alignment horizontal="center"/>
    </x:xf>
    <x:xf numFmtId="164" fontId="17" fillId="0" borderId="75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/>
    <x:xf numFmtId="0" fontId="5" fillId="33" borderId="0" xfId="0" applyNumberFormat="1" applyFont="1" applyFill="1" applyBorder="1"/>
    <x:xf numFmtId="0" fontId="5" fillId="33" borderId="66" xfId="0" applyNumberFormat="1" applyFont="1" applyFill="1" applyBorder="1"/>
    <x:xf numFmtId="0" fontId="5" fillId="33" borderId="67" xfId="0" applyNumberFormat="1" applyFont="1" applyFill="1" applyBorder="1"/>
    <x:xf numFmtId="0" fontId="5" fillId="33" borderId="68" xfId="0" applyNumberFormat="1" applyFont="1" applyFill="1" applyBorder="1"/>
    <x:xf numFmtId="0" fontId="5" fillId="33" borderId="69" xfId="0" applyNumberFormat="1" applyFont="1" applyFill="1" applyBorder="1"/>
    <x:xf numFmtId="0" fontId="5" fillId="33" xfId="0" applyNumberFormat="1" applyFont="1" applyFill="1" applyBorder="0"/>
    <x:xf numFmtId="0" fontId="5" fillId="33" borderId="70" xfId="0" applyNumberFormat="1" applyFont="1" applyFill="1" applyBorder="1"/>
    <x:xf numFmtId="0" fontId="5" fillId="33" borderId="71" xfId="0" applyNumberFormat="1" applyFont="1" applyFill="1" applyBorder="1"/>
    <x:xf numFmtId="0" fontId="5" fillId="33" borderId="72" xfId="0" applyNumberFormat="1" applyFont="1" applyFill="1" applyBorder="1"/>
    <x:xf numFmtId="0" fontId="5" fillId="33" borderId="73" xfId="0" applyNumberFormat="1" applyFont="1" applyFill="1" applyBorder="1"/>
    <x:xf numFmtId="0" fontId="5" fillId="33" borderId="66" xfId="0" applyNumberFormat="1" applyFont="1" applyFill="1" applyBorder="1" applyAlignment="1">
      <x:alignment wrapText="1"/>
    </x:xf>
    <x:xf numFmtId="0" fontId="5" fillId="33" borderId="67" xfId="0" applyNumberFormat="1" applyFont="1" applyFill="1" applyBorder="1" applyAlignment="1">
      <x:alignment wrapText="1"/>
    </x:xf>
    <x:xf numFmtId="0" fontId="5" fillId="33" borderId="68" xfId="0" applyNumberFormat="1" applyFont="1" applyFill="1" applyBorder="1" applyAlignment="1">
      <x:alignment wrapText="1"/>
    </x:xf>
    <x:xf numFmtId="0" fontId="5" fillId="33" borderId="69" xfId="0" applyNumberFormat="1" applyFont="1" applyFill="1" applyBorder="1" applyAlignment="1">
      <x:alignment wrapText="1"/>
    </x:xf>
    <x:xf numFmtId="0" fontId="5" fillId="33" xfId="0" applyNumberFormat="1" applyFont="1" applyFill="1" applyBorder="0" applyAlignment="1">
      <x:alignment wrapText="1"/>
    </x:xf>
    <x:xf numFmtId="0" fontId="5" fillId="33" borderId="70" xfId="0" applyNumberFormat="1" applyFont="1" applyFill="1" applyBorder="1" applyAlignment="1">
      <x:alignment wrapText="1"/>
    </x:xf>
    <x:xf numFmtId="0" fontId="5" fillId="33" borderId="71" xfId="0" applyNumberFormat="1" applyFont="1" applyFill="1" applyBorder="1" applyAlignment="1">
      <x:alignment wrapText="1"/>
    </x:xf>
    <x:xf numFmtId="0" fontId="5" fillId="33" borderId="72" xfId="0" applyNumberFormat="1" applyFont="1" applyFill="1" applyBorder="1" applyAlignment="1">
      <x:alignment wrapText="1"/>
    </x:xf>
    <x:xf numFmtId="0" fontId="5" fillId="33" borderId="73" xfId="0" applyNumberFormat="1" applyFont="1" applyFill="1" applyBorder="1" applyAlignment="1">
      <x:alignment wrapText="1"/>
    </x:xf>
    <x:xf numFmtId="0" fontId="5" fillId="33" borderId="66" xfId="0" applyNumberFormat="1" applyFont="1" applyFill="1" applyBorder="1" applyAlignment="1">
      <x:alignment vertical="center" wrapText="1"/>
    </x:xf>
    <x:xf numFmtId="0" fontId="5" fillId="33" borderId="67" xfId="0" applyNumberFormat="1" applyFont="1" applyFill="1" applyBorder="1" applyAlignment="1">
      <x:alignment vertical="center" wrapText="1"/>
    </x:xf>
    <x:xf numFmtId="0" fontId="5" fillId="33" borderId="68" xfId="0" applyNumberFormat="1" applyFont="1" applyFill="1" applyBorder="1" applyAlignment="1">
      <x:alignment vertical="center" wrapText="1"/>
    </x:xf>
    <x:xf numFmtId="0" fontId="5" fillId="33" borderId="69" xfId="0" applyNumberFormat="1" applyFont="1" applyFill="1" applyBorder="1" applyAlignment="1">
      <x:alignment vertical="center" wrapText="1"/>
    </x:xf>
    <x:xf numFmtId="0" fontId="5" fillId="33" xfId="0" applyNumberFormat="1" applyFont="1" applyFill="1" applyBorder="0" applyAlignment="1">
      <x:alignment vertical="center" wrapText="1"/>
    </x:xf>
    <x:xf numFmtId="0" fontId="5" fillId="33" borderId="70" xfId="0" applyNumberFormat="1" applyFont="1" applyFill="1" applyBorder="1" applyAlignment="1">
      <x:alignment vertical="center" wrapText="1"/>
    </x:xf>
    <x:xf numFmtId="0" fontId="5" fillId="33" borderId="71" xfId="0" applyNumberFormat="1" applyFont="1" applyFill="1" applyBorder="1" applyAlignment="1">
      <x:alignment vertical="center" wrapText="1"/>
    </x:xf>
    <x:xf numFmtId="0" fontId="5" fillId="33" borderId="72" xfId="0" applyNumberFormat="1" applyFont="1" applyFill="1" applyBorder="1" applyAlignment="1">
      <x:alignment vertical="center" wrapText="1"/>
    </x:xf>
    <x:xf numFmtId="0" fontId="5" fillId="33" borderId="73" xfId="0" applyNumberFormat="1" applyFont="1" applyFill="1" applyBorder="1" applyAlignment="1">
      <x:alignment vertical="center" wrapText="1"/>
    </x:xf>
    <x:xf numFmtId="0" fontId="4" fillId="0" borderId="66" xfId="0" applyNumberFormat="1" applyFont="1" applyFill="1" applyBorder="1"/>
    <x:xf numFmtId="0" fontId="4" fillId="0" borderId="67" xfId="0" applyNumberFormat="1" applyFont="1" applyFill="1" applyBorder="1"/>
    <x:xf numFmtId="0" fontId="4" fillId="0" borderId="68" xfId="0" applyNumberFormat="1" applyFont="1" applyFill="1" applyBorder="1"/>
    <x:xf numFmtId="0" fontId="4" fillId="0" borderId="69" xfId="0" applyNumberFormat="1" applyFont="1" applyFill="1" applyBorder="1"/>
    <x:xf numFmtId="0" fontId="4" fillId="0" xfId="0" applyNumberFormat="1" applyFont="1" applyFill="1" applyBorder="0"/>
    <x:xf numFmtId="0" fontId="4" fillId="0" borderId="70" xfId="0" applyNumberFormat="1" applyFont="1" applyFill="1" applyBorder="1"/>
    <x:xf numFmtId="0" fontId="4" fillId="0" borderId="71" xfId="0" applyNumberFormat="1" applyFont="1" applyFill="1" applyBorder="1"/>
    <x:xf numFmtId="0" fontId="4" fillId="0" borderId="72" xfId="0" applyNumberFormat="1" applyFont="1" applyFill="1" applyBorder="1"/>
    <x:xf numFmtId="0" fontId="4" fillId="0" borderId="73" xfId="0" applyNumberFormat="1" applyFont="1" applyFill="1" applyBorder="1"/>
    <x:xf numFmtId="0" fontId="4" fillId="0" borderId="66" xfId="0" applyNumberFormat="1" applyFont="1" applyFill="1" applyBorder="1" applyAlignment="1">
      <x:alignment wrapText="1"/>
    </x:xf>
    <x:xf numFmtId="0" fontId="4" fillId="0" borderId="67" xfId="0" applyNumberFormat="1" applyFont="1" applyFill="1" applyBorder="1" applyAlignment="1">
      <x:alignment wrapText="1"/>
    </x:xf>
    <x:xf numFmtId="0" fontId="4" fillId="0" borderId="68" xfId="0" applyNumberFormat="1" applyFont="1" applyFill="1" applyBorder="1" applyAlignment="1">
      <x:alignment wrapText="1"/>
    </x:xf>
    <x:xf numFmtId="0" fontId="4" fillId="0" borderId="69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wrapText="1"/>
    </x:xf>
    <x:xf numFmtId="0" fontId="4" fillId="0" borderId="70" xfId="0" applyNumberFormat="1" applyFont="1" applyFill="1" applyBorder="1" applyAlignment="1">
      <x:alignment wrapText="1"/>
    </x:xf>
    <x:xf numFmtId="0" fontId="4" fillId="0" borderId="71" xfId="0" applyNumberFormat="1" applyFont="1" applyFill="1" applyBorder="1" applyAlignment="1">
      <x:alignment wrapText="1"/>
    </x:xf>
    <x:xf numFmtId="0" fontId="4" fillId="0" borderId="72" xfId="0" applyNumberFormat="1" applyFont="1" applyFill="1" applyBorder="1" applyAlignment="1">
      <x:alignment wrapText="1"/>
    </x:xf>
    <x:xf numFmtId="0" fontId="4" fillId="0" borderId="73" xfId="0" applyNumberFormat="1" applyFont="1" applyFill="1" applyBorder="1" applyAlignment="1">
      <x:alignment wrapText="1"/>
    </x:xf>
    <x:xf numFmtId="0" fontId="4" fillId="0" borderId="66" xfId="0" applyNumberFormat="1" applyFont="1" applyFill="1" applyBorder="1" applyAlignment="1">
      <x:alignment vertical="center" wrapText="1"/>
    </x:xf>
    <x:xf numFmtId="0" fontId="4" fillId="0" borderId="67" xfId="0" applyNumberFormat="1" applyFont="1" applyFill="1" applyBorder="1" applyAlignment="1">
      <x:alignment vertical="center" wrapText="1"/>
    </x:xf>
    <x:xf numFmtId="0" fontId="4" fillId="0" borderId="68" xfId="0" applyNumberFormat="1" applyFont="1" applyFill="1" applyBorder="1" applyAlignment="1">
      <x:alignment vertical="center" wrapText="1"/>
    </x:xf>
    <x:xf numFmtId="0" fontId="4" fillId="0" borderId="69" xfId="0" applyNumberFormat="1" applyFont="1" applyFill="1" applyBorder="1" applyAlignment="1">
      <x:alignment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4" fillId="0" borderId="70" xfId="0" applyNumberFormat="1" applyFont="1" applyFill="1" applyBorder="1" applyAlignment="1">
      <x:alignment vertical="center" wrapText="1"/>
    </x:xf>
    <x:xf numFmtId="0" fontId="4" fillId="0" borderId="71" xfId="0" applyNumberFormat="1" applyFont="1" applyFill="1" applyBorder="1" applyAlignment="1">
      <x:alignment vertical="center" wrapText="1"/>
    </x:xf>
    <x:xf numFmtId="0" fontId="4" fillId="0" borderId="72" xfId="0" applyNumberFormat="1" applyFont="1" applyFill="1" applyBorder="1" applyAlignment="1">
      <x:alignment vertical="center" wrapText="1"/>
    </x:xf>
    <x:xf numFmtId="0" fontId="4" fillId="0" borderId="73" xfId="0" applyNumberFormat="1" applyFont="1" applyFill="1" applyBorder="1" applyAlignment="1">
      <x:alignment vertical="center" wrapText="1"/>
    </x:xf>
    <x:xf numFmtId="0" fontId="7" fillId="33" borderId="0" xfId="0" applyNumberFormat="1" applyFont="1" applyFill="1" applyBorder="1"/>
    <x:xf numFmtId="0" fontId="7" fillId="33" borderId="65" xfId="0" applyNumberFormat="1" applyFont="1" applyFill="1" applyBorder="1"/>
    <x:xf numFmtId="0" fontId="7" fillId="33" borderId="65" xfId="0" applyNumberFormat="1" applyFont="1" applyFill="1" applyBorder="1" applyAlignment="1">
      <x:alignment horizontal="center"/>
    </x:xf>
    <x:xf numFmtId="0" fontId="7" fillId="33" borderId="65" xfId="0" applyNumberFormat="1" applyFont="1" applyFill="1" applyBorder="1" applyAlignment="1">
      <x:alignment horizontal="center" vertical="center"/>
    </x:xf>
    <x:xf numFmtId="0" fontId="5" fillId="0" borderId="77" xfId="0" applyNumberFormat="1" applyFont="1" applyFill="1" applyBorder="1"/>
    <x:xf numFmtId="0" fontId="5" fillId="0" borderId="78" xfId="0" applyNumberFormat="1" applyFont="1" applyFill="1" applyBorder="1"/>
    <x:xf numFmtId="0" fontId="5" fillId="0" borderId="77" xfId="0" applyNumberFormat="1" applyFont="1" applyFill="1" applyBorder="1" applyAlignment="1">
      <x:alignment wrapText="1"/>
    </x:xf>
    <x:xf numFmtId="0" fontId="5" fillId="0" borderId="78" xfId="0" applyNumberFormat="1" applyFont="1" applyFill="1" applyBorder="1" applyAlignment="1">
      <x:alignment wrapText="1"/>
    </x:xf>
    <x:xf numFmtId="0" fontId="5" fillId="0" borderId="77" xfId="0" applyNumberFormat="1" applyFont="1" applyFill="1" applyBorder="1" applyAlignment="1">
      <x:alignment vertical="center" wrapText="1"/>
    </x:xf>
    <x:xf numFmtId="0" fontId="5" fillId="0" borderId="78" xfId="0" applyNumberFormat="1" applyFont="1" applyFill="1" applyBorder="1" applyAlignment="1">
      <x:alignment vertical="center" wrapText="1"/>
    </x:xf>
    <x:xf numFmtId="0" fontId="4" fillId="0" borderId="77" xfId="0" applyNumberFormat="1" applyFont="1" applyFill="1" applyBorder="1"/>
    <x:xf numFmtId="0" fontId="4" fillId="0" borderId="79" xfId="0" applyNumberFormat="1" applyFont="1" applyFill="1" applyBorder="1"/>
    <x:xf numFmtId="0" fontId="4" fillId="0" borderId="78" xfId="0" applyNumberFormat="1" applyFont="1" applyFill="1" applyBorder="1"/>
    <x:xf numFmtId="0" fontId="4" fillId="0" borderId="77" xfId="0" applyNumberFormat="1" applyFont="1" applyFill="1" applyBorder="1" applyAlignment="1">
      <x:alignment wrapText="1"/>
    </x:xf>
    <x:xf numFmtId="0" fontId="4" fillId="0" borderId="79" xfId="0" applyNumberFormat="1" applyFont="1" applyFill="1" applyBorder="1" applyAlignment="1">
      <x:alignment wrapText="1"/>
    </x:xf>
    <x:xf numFmtId="0" fontId="4" fillId="0" borderId="78" xfId="0" applyNumberFormat="1" applyFont="1" applyFill="1" applyBorder="1" applyAlignment="1">
      <x:alignment wrapText="1"/>
    </x:xf>
    <x:xf numFmtId="0" fontId="4" fillId="0" borderId="77" xfId="0" applyNumberFormat="1" applyFont="1" applyFill="1" applyBorder="1" applyAlignment="1">
      <x:alignment vertical="center" wrapText="1"/>
    </x:xf>
    <x:xf numFmtId="0" fontId="4" fillId="0" borderId="79" xfId="0" applyNumberFormat="1" applyFont="1" applyFill="1" applyBorder="1" applyAlignment="1">
      <x:alignment vertical="center" wrapText="1"/>
    </x:xf>
    <x:xf numFmtId="0" fontId="4" fillId="0" borderId="78" xfId="0" applyNumberFormat="1" applyFont="1" applyFill="1" applyBorder="1" applyAlignment="1">
      <x:alignment vertical="center" wrapText="1"/>
    </x:xf>
    <x:xf numFmtId="201" fontId="9" fillId="0" borderId="67" xfId="0" applyNumberFormat="1" applyFont="1" applyFill="1" applyBorder="1" applyAlignment="1">
      <x:alignment vertical="top" wrapText="1"/>
    </x:xf>
    <x:xf numFmtId="201" fontId="9" fillId="0" xfId="0" applyNumberFormat="1" applyFont="1" applyFill="1" applyBorder="0" applyAlignment="1">
      <x:alignment vertical="top" wrapText="1"/>
    </x:xf>
    <x:xf numFmtId="201" fontId="9" fillId="0" borderId="72" xfId="0" applyNumberFormat="1" applyFont="1" applyFill="1" applyBorder="1" applyAlignment="1">
      <x:alignment vertical="top" wrapText="1"/>
    </x:xf>
    <x:xf numFmtId="0" fontId="5" fillId="6" xfId="0" applyNumberFormat="1" applyFont="1" applyFill="1" applyBorder="0"/>
    <x:xf numFmtId="0" fontId="5" fillId="6" xfId="0" applyNumberFormat="1" applyFont="1" applyFill="1" applyBorder="0" applyAlignment="1">
      <x:alignment wrapText="1"/>
    </x:xf>
    <x:xf numFmtId="0" fontId="5" fillId="6" xfId="0" applyNumberFormat="1" applyFont="1" applyFill="1" applyBorder="0" applyAlignment="1">
      <x:alignment vertical="center" wrapText="1"/>
    </x:xf>
    <x:xf numFmtId="0" fontId="0" fillId="34" borderId="0" xfId="0" applyNumberFormat="1" applyFont="1" applyFill="1" applyBorder="1" applyAlignment="1">
      <x:alignment wrapText="1"/>
    </x:xf>
    <x:xf numFmtId="0" fontId="12" fillId="34" borderId="0" xfId="0" applyNumberFormat="1" applyFont="1" applyFill="1" applyBorder="1" applyAlignment="1">
      <x:alignment wrapText="1"/>
    </x:xf>
    <x:xf numFmtId="0" fontId="12" fillId="34" borderId="80" xfId="0" applyNumberFormat="1" applyFont="1" applyFill="1" applyBorder="1" applyAlignment="1">
      <x:alignment wrapText="1"/>
    </x:xf>
    <x:xf numFmtId="0" fontId="12" fillId="34" borderId="80" xfId="0" applyNumberFormat="1" applyFont="1" applyFill="1" applyBorder="1" applyAlignment="1">
      <x:alignment horizontal="center" wrapText="1"/>
    </x:xf>
    <x:xf numFmtId="0" fontId="12" fillId="34" borderId="80" xfId="0" applyNumberFormat="1" applyFont="1" applyFill="1" applyBorder="1" applyAlignment="1">
      <x:alignment horizontal="center" vertical="center" wrapText="1"/>
    </x:xf>
    <x:xf numFmtId="0" fontId="9" fillId="0" borderId="81" xfId="0" applyNumberFormat="1" applyFont="1" applyFill="1" applyBorder="1"/>
    <x:xf numFmtId="0" fontId="9" fillId="0" borderId="82" xfId="0" applyNumberFormat="1" applyFont="1" applyFill="1" applyBorder="1"/>
    <x:xf numFmtId="200" fontId="9" fillId="0" borderId="82" xfId="0" applyNumberFormat="1" applyFont="1" applyFill="1" applyBorder="1"/>
    <x:xf numFmtId="0" fontId="9" fillId="0" borderId="83" xfId="0" applyNumberFormat="1" applyFont="1" applyFill="1" applyBorder="1"/>
    <x:xf numFmtId="0" fontId="9" fillId="0" borderId="84" xfId="0" applyNumberFormat="1" applyFont="1" applyFill="1" applyBorder="1"/>
    <x:xf numFmtId="200" fontId="9" fillId="0" xfId="0" applyNumberFormat="1" applyFont="1" applyFill="1" applyBorder="0"/>
    <x:xf numFmtId="0" fontId="9" fillId="0" borderId="85" xfId="0" applyNumberFormat="1" applyFont="1" applyFill="1" applyBorder="1"/>
    <x:xf numFmtId="0" fontId="9" fillId="0" borderId="86" xfId="0" applyNumberFormat="1" applyFont="1" applyFill="1" applyBorder="1"/>
    <x:xf numFmtId="0" fontId="9" fillId="0" borderId="87" xfId="0" applyNumberFormat="1" applyFont="1" applyFill="1" applyBorder="1"/>
    <x:xf numFmtId="200" fontId="9" fillId="0" borderId="87" xfId="0" applyNumberFormat="1" applyFont="1" applyFill="1" applyBorder="1"/>
    <x:xf numFmtId="0" fontId="9" fillId="0" borderId="88" xfId="0" applyNumberFormat="1" applyFont="1" applyFill="1" applyBorder="1"/>
    <x:xf numFmtId="0" fontId="9" fillId="0" borderId="81" xfId="0" applyNumberFormat="1" applyFont="1" applyFill="1" applyBorder="1" applyAlignment="1">
      <x:alignment wrapText="1"/>
    </x:xf>
    <x:xf numFmtId="0" fontId="9" fillId="0" borderId="82" xfId="0" applyNumberFormat="1" applyFont="1" applyFill="1" applyBorder="1" applyAlignment="1">
      <x:alignment wrapText="1"/>
    </x:xf>
    <x:xf numFmtId="200" fontId="9" fillId="0" borderId="82" xfId="0" applyNumberFormat="1" applyFont="1" applyFill="1" applyBorder="1" applyAlignment="1">
      <x:alignment wrapText="1"/>
    </x:xf>
    <x:xf numFmtId="0" fontId="9" fillId="0" borderId="83" xfId="0" applyNumberFormat="1" applyFont="1" applyFill="1" applyBorder="1" applyAlignment="1">
      <x:alignment wrapText="1"/>
    </x:xf>
    <x:xf numFmtId="0" fontId="9" fillId="0" borderId="84" xfId="0" applyNumberFormat="1" applyFont="1" applyFill="1" applyBorder="1" applyAlignment="1">
      <x:alignment wrapText="1"/>
    </x:xf>
    <x:xf numFmtId="200" fontId="9" fillId="0" xfId="0" applyNumberFormat="1" applyFont="1" applyFill="1" applyBorder="0" applyAlignment="1">
      <x:alignment wrapText="1"/>
    </x:xf>
    <x:xf numFmtId="0" fontId="9" fillId="0" borderId="85" xfId="0" applyNumberFormat="1" applyFont="1" applyFill="1" applyBorder="1" applyAlignment="1">
      <x:alignment wrapText="1"/>
    </x:xf>
    <x:xf numFmtId="0" fontId="9" fillId="0" borderId="86" xfId="0" applyNumberFormat="1" applyFont="1" applyFill="1" applyBorder="1" applyAlignment="1">
      <x:alignment wrapText="1"/>
    </x:xf>
    <x:xf numFmtId="0" fontId="9" fillId="0" borderId="87" xfId="0" applyNumberFormat="1" applyFont="1" applyFill="1" applyBorder="1" applyAlignment="1">
      <x:alignment wrapText="1"/>
    </x:xf>
    <x:xf numFmtId="200" fontId="9" fillId="0" borderId="87" xfId="0" applyNumberFormat="1" applyFont="1" applyFill="1" applyBorder="1" applyAlignment="1">
      <x:alignment wrapText="1"/>
    </x:xf>
    <x:xf numFmtId="0" fontId="9" fillId="0" borderId="88" xfId="0" applyNumberFormat="1" applyFont="1" applyFill="1" applyBorder="1" applyAlignment="1">
      <x:alignment wrapText="1"/>
    </x:xf>
    <x:xf numFmtId="0" fontId="9" fillId="0" borderId="81" xfId="0" applyNumberFormat="1" applyFont="1" applyFill="1" applyBorder="1" applyAlignment="1">
      <x:alignment vertical="center" wrapText="1"/>
    </x:xf>
    <x:xf numFmtId="0" fontId="9" fillId="0" borderId="82" xfId="0" applyNumberFormat="1" applyFont="1" applyFill="1" applyBorder="1" applyAlignment="1">
      <x:alignment vertical="center" wrapText="1"/>
    </x:xf>
    <x:xf numFmtId="200" fontId="9" fillId="0" borderId="82" xfId="0" applyNumberFormat="1" applyFont="1" applyFill="1" applyBorder="1" applyAlignment="1">
      <x:alignment vertical="center" wrapText="1"/>
    </x:xf>
    <x:xf numFmtId="0" fontId="9" fillId="0" borderId="83" xfId="0" applyNumberFormat="1" applyFont="1" applyFill="1" applyBorder="1" applyAlignment="1">
      <x:alignment vertical="center" wrapText="1"/>
    </x:xf>
    <x:xf numFmtId="0" fontId="9" fillId="0" borderId="84" xfId="0" applyNumberFormat="1" applyFont="1" applyFill="1" applyBorder="1" applyAlignment="1">
      <x:alignment vertical="center" wrapText="1"/>
    </x:xf>
    <x:xf numFmtId="0" fontId="9" fillId="0" borderId="85" xfId="0" applyNumberFormat="1" applyFont="1" applyFill="1" applyBorder="1" applyAlignment="1">
      <x:alignment vertical="center" wrapText="1"/>
    </x:xf>
    <x:xf numFmtId="0" fontId="9" fillId="0" borderId="86" xfId="0" applyNumberFormat="1" applyFont="1" applyFill="1" applyBorder="1" applyAlignment="1">
      <x:alignment vertical="center" wrapText="1"/>
    </x:xf>
    <x:xf numFmtId="0" fontId="9" fillId="0" borderId="87" xfId="0" applyNumberFormat="1" applyFont="1" applyFill="1" applyBorder="1" applyAlignment="1">
      <x:alignment vertical="center" wrapText="1"/>
    </x:xf>
    <x:xf numFmtId="200" fontId="9" fillId="0" borderId="87" xfId="0" applyNumberFormat="1" applyFont="1" applyFill="1" applyBorder="1" applyAlignment="1">
      <x:alignment vertical="center" wrapText="1"/>
    </x:xf>
    <x:xf numFmtId="0" fontId="9" fillId="0" borderId="88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horizontal="center" wrapText="1"/>
    </x:xf>
    <x:xf numFmtId="0" fontId="3" fillId="37" borderId="0" xfId="0" applyNumberFormat="1" applyFont="1" applyFill="1" applyBorder="1" applyAlignment="1">
      <x:alignment horizontal="center" vertical="center" wrapText="1"/>
    </x:xf>
    <x:xf numFmtId="0" fontId="9" fillId="0" borderId="81" xfId="0" applyNumberFormat="1" applyFont="1" applyFill="1" applyBorder="1" applyAlignment="1">
      <x:alignment vertical="top" wrapText="1"/>
    </x:xf>
    <x:xf numFmtId="0" fontId="9" fillId="0" borderId="82" xfId="0" applyNumberFormat="1" applyFont="1" applyFill="1" applyBorder="1" applyAlignment="1">
      <x:alignment vertical="top" wrapText="1"/>
    </x:xf>
    <x:xf numFmtId="0" fontId="9" fillId="0" borderId="83" xfId="0" applyNumberFormat="1" applyFont="1" applyFill="1" applyBorder="1" applyAlignment="1">
      <x:alignment vertical="top" wrapText="1"/>
    </x:xf>
    <x:xf numFmtId="0" fontId="9" fillId="0" borderId="84" xfId="0" applyNumberFormat="1" applyFont="1" applyFill="1" applyBorder="1" applyAlignment="1">
      <x:alignment vertical="top" wrapText="1"/>
    </x:xf>
    <x:xf numFmtId="0" fontId="9" fillId="0" borderId="85" xfId="0" applyNumberFormat="1" applyFont="1" applyFill="1" applyBorder="1" applyAlignment="1">
      <x:alignment vertical="top" wrapText="1"/>
    </x:xf>
    <x:xf numFmtId="0" fontId="9" fillId="0" borderId="86" xfId="0" applyNumberFormat="1" applyFont="1" applyFill="1" applyBorder="1" applyAlignment="1">
      <x:alignment vertical="top" wrapText="1"/>
    </x:xf>
    <x:xf numFmtId="0" fontId="9" fillId="0" borderId="87" xfId="0" applyNumberFormat="1" applyFont="1" applyFill="1" applyBorder="1" applyAlignment="1">
      <x:alignment vertical="top" wrapText="1"/>
    </x:xf>
    <x:xf numFmtId="0" fontId="9" fillId="0" borderId="88" xfId="0" applyNumberFormat="1" applyFont="1" applyFill="1" applyBorder="1" applyAlignment="1">
      <x:alignment vertical="top" wrapText="1"/>
    </x:xf>
    <x:xf numFmtId="164" fontId="9" fillId="0" borderId="82" xfId="0" applyNumberFormat="1" applyFont="1" applyFill="1" applyBorder="1" applyAlignment="1">
      <x:alignment vertical="top" wrapText="1"/>
    </x:xf>
    <x:xf numFmtId="164" fontId="9" fillId="0" borderId="87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10" fillId="36" borderId="0" xfId="0" applyNumberFormat="1" applyFont="1" applyFill="1" applyBorder="1"/>
    <x:xf numFmtId="0" fontId="10" fillId="36" borderId="89" xfId="0" applyNumberFormat="1" applyFont="1" applyFill="1" applyBorder="1"/>
    <x:xf numFmtId="0" fontId="10" fillId="36" borderId="90" xfId="0" applyNumberFormat="1" applyFont="1" applyFill="1" applyBorder="1"/>
    <x:xf numFmtId="0" fontId="10" fillId="36" borderId="91" xfId="0" applyNumberFormat="1" applyFont="1" applyFill="1" applyBorder="1"/>
    <x:xf numFmtId="0" fontId="17" fillId="0" borderId="89" xfId="0" applyNumberFormat="1" applyFont="1" applyFill="1" applyBorder="1"/>
    <x:xf numFmtId="0" fontId="17" fillId="0" borderId="90" xfId="0" applyNumberFormat="1" applyFont="1" applyFill="1" applyBorder="1"/>
    <x:xf numFmtId="0" fontId="17" fillId="0" borderId="91" xfId="0" applyNumberFormat="1" applyFont="1" applyFill="1" applyBorder="1"/>
    <x:xf numFmtId="0" fontId="17" fillId="0" borderId="89" xfId="0" applyNumberFormat="1" applyFont="1" applyFill="1" applyBorder="1" applyAlignment="1">
      <x:alignment horizontal="center"/>
    </x:xf>
    <x:xf numFmtId="0" fontId="17" fillId="0" borderId="90" xfId="0" applyNumberFormat="1" applyFont="1" applyFill="1" applyBorder="1" applyAlignment="1">
      <x:alignment horizontal="center"/>
    </x:xf>
    <x:xf numFmtId="0" fontId="17" fillId="0" borderId="91" xfId="0" applyNumberFormat="1" applyFont="1" applyFill="1" applyBorder="1" applyAlignment="1">
      <x:alignment horizontal="center"/>
    </x:xf>
    <x:xf numFmtId="164" fontId="17" fillId="0" borderId="89" xfId="0" applyNumberFormat="1" applyFont="1" applyFill="1" applyBorder="1" applyAlignment="1">
      <x:alignment horizontal="center"/>
    </x:xf>
    <x:xf numFmtId="164" fontId="17" fillId="0" borderId="9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5" fillId="39" borderId="81" xfId="0" applyNumberFormat="1" applyFont="1" applyFill="1" applyBorder="1"/>
    <x:xf numFmtId="0" fontId="5" fillId="39" borderId="82" xfId="0" applyNumberFormat="1" applyFont="1" applyFill="1" applyBorder="1"/>
    <x:xf numFmtId="0" fontId="5" fillId="39" borderId="83" xfId="0" applyNumberFormat="1" applyFont="1" applyFill="1" applyBorder="1"/>
    <x:xf numFmtId="0" fontId="5" fillId="39" borderId="84" xfId="0" applyNumberFormat="1" applyFont="1" applyFill="1" applyBorder="1"/>
    <x:xf numFmtId="0" fontId="5" fillId="39" xfId="0" applyNumberFormat="1" applyFont="1" applyFill="1" applyBorder="0"/>
    <x:xf numFmtId="0" fontId="5" fillId="39" borderId="85" xfId="0" applyNumberFormat="1" applyFont="1" applyFill="1" applyBorder="1"/>
    <x:xf numFmtId="0" fontId="5" fillId="39" borderId="86" xfId="0" applyNumberFormat="1" applyFont="1" applyFill="1" applyBorder="1"/>
    <x:xf numFmtId="0" fontId="5" fillId="39" borderId="87" xfId="0" applyNumberFormat="1" applyFont="1" applyFill="1" applyBorder="1"/>
    <x:xf numFmtId="0" fontId="5" fillId="39" borderId="88" xfId="0" applyNumberFormat="1" applyFont="1" applyFill="1" applyBorder="1"/>
    <x:xf numFmtId="0" fontId="5" fillId="39" borderId="81" xfId="0" applyNumberFormat="1" applyFont="1" applyFill="1" applyBorder="1" applyAlignment="1">
      <x:alignment wrapText="1"/>
    </x:xf>
    <x:xf numFmtId="0" fontId="5" fillId="39" borderId="82" xfId="0" applyNumberFormat="1" applyFont="1" applyFill="1" applyBorder="1" applyAlignment="1">
      <x:alignment wrapText="1"/>
    </x:xf>
    <x:xf numFmtId="0" fontId="5" fillId="39" borderId="83" xfId="0" applyNumberFormat="1" applyFont="1" applyFill="1" applyBorder="1" applyAlignment="1">
      <x:alignment wrapText="1"/>
    </x:xf>
    <x:xf numFmtId="0" fontId="5" fillId="39" borderId="84" xfId="0" applyNumberFormat="1" applyFont="1" applyFill="1" applyBorder="1" applyAlignment="1">
      <x:alignment wrapText="1"/>
    </x:xf>
    <x:xf numFmtId="0" fontId="5" fillId="39" xfId="0" applyNumberFormat="1" applyFont="1" applyFill="1" applyBorder="0" applyAlignment="1">
      <x:alignment wrapText="1"/>
    </x:xf>
    <x:xf numFmtId="0" fontId="5" fillId="39" borderId="85" xfId="0" applyNumberFormat="1" applyFont="1" applyFill="1" applyBorder="1" applyAlignment="1">
      <x:alignment wrapText="1"/>
    </x:xf>
    <x:xf numFmtId="0" fontId="5" fillId="39" borderId="86" xfId="0" applyNumberFormat="1" applyFont="1" applyFill="1" applyBorder="1" applyAlignment="1">
      <x:alignment wrapText="1"/>
    </x:xf>
    <x:xf numFmtId="0" fontId="5" fillId="39" borderId="87" xfId="0" applyNumberFormat="1" applyFont="1" applyFill="1" applyBorder="1" applyAlignment="1">
      <x:alignment wrapText="1"/>
    </x:xf>
    <x:xf numFmtId="0" fontId="5" fillId="39" borderId="88" xfId="0" applyNumberFormat="1" applyFont="1" applyFill="1" applyBorder="1" applyAlignment="1">
      <x:alignment wrapText="1"/>
    </x:xf>
    <x:xf numFmtId="0" fontId="5" fillId="39" borderId="81" xfId="0" applyNumberFormat="1" applyFont="1" applyFill="1" applyBorder="1" applyAlignment="1">
      <x:alignment vertical="center" wrapText="1"/>
    </x:xf>
    <x:xf numFmtId="0" fontId="5" fillId="39" borderId="82" xfId="0" applyNumberFormat="1" applyFont="1" applyFill="1" applyBorder="1" applyAlignment="1">
      <x:alignment vertical="center" wrapText="1"/>
    </x:xf>
    <x:xf numFmtId="0" fontId="5" fillId="39" borderId="83" xfId="0" applyNumberFormat="1" applyFont="1" applyFill="1" applyBorder="1" applyAlignment="1">
      <x:alignment vertical="center" wrapText="1"/>
    </x:xf>
    <x:xf numFmtId="0" fontId="5" fillId="39" borderId="84" xfId="0" applyNumberFormat="1" applyFont="1" applyFill="1" applyBorder="1" applyAlignment="1">
      <x:alignment vertical="center" wrapText="1"/>
    </x:xf>
    <x:xf numFmtId="0" fontId="5" fillId="39" xfId="0" applyNumberFormat="1" applyFont="1" applyFill="1" applyBorder="0" applyAlignment="1">
      <x:alignment vertical="center" wrapText="1"/>
    </x:xf>
    <x:xf numFmtId="0" fontId="5" fillId="39" borderId="85" xfId="0" applyNumberFormat="1" applyFont="1" applyFill="1" applyBorder="1" applyAlignment="1">
      <x:alignment vertical="center" wrapText="1"/>
    </x:xf>
    <x:xf numFmtId="0" fontId="5" fillId="39" borderId="86" xfId="0" applyNumberFormat="1" applyFont="1" applyFill="1" applyBorder="1" applyAlignment="1">
      <x:alignment vertical="center" wrapText="1"/>
    </x:xf>
    <x:xf numFmtId="0" fontId="5" fillId="39" borderId="87" xfId="0" applyNumberFormat="1" applyFont="1" applyFill="1" applyBorder="1" applyAlignment="1">
      <x:alignment vertical="center" wrapText="1"/>
    </x:xf>
    <x:xf numFmtId="0" fontId="5" fillId="39" borderId="88" xfId="0" applyNumberFormat="1" applyFont="1" applyFill="1" applyBorder="1" applyAlignment="1">
      <x:alignment vertical="center" wrapText="1"/>
    </x:xf>
    <x:xf numFmtId="0" fontId="4" fillId="0" borderId="81" xfId="0" applyNumberFormat="1" applyFont="1" applyFill="1" applyBorder="1"/>
    <x:xf numFmtId="0" fontId="4" fillId="0" borderId="82" xfId="0" applyNumberFormat="1" applyFont="1" applyFill="1" applyBorder="1"/>
    <x:xf numFmtId="0" fontId="4" fillId="0" borderId="83" xfId="0" applyNumberFormat="1" applyFont="1" applyFill="1" applyBorder="1"/>
    <x:xf numFmtId="0" fontId="4" fillId="0" borderId="84" xfId="0" applyNumberFormat="1" applyFont="1" applyFill="1" applyBorder="1"/>
    <x:xf numFmtId="0" fontId="4" fillId="0" borderId="85" xfId="0" applyNumberFormat="1" applyFont="1" applyFill="1" applyBorder="1"/>
    <x:xf numFmtId="0" fontId="4" fillId="0" borderId="86" xfId="0" applyNumberFormat="1" applyFont="1" applyFill="1" applyBorder="1"/>
    <x:xf numFmtId="0" fontId="4" fillId="0" borderId="87" xfId="0" applyNumberFormat="1" applyFont="1" applyFill="1" applyBorder="1"/>
    <x:xf numFmtId="0" fontId="4" fillId="0" borderId="88" xfId="0" applyNumberFormat="1" applyFont="1" applyFill="1" applyBorder="1"/>
    <x:xf numFmtId="0" fontId="4" fillId="0" borderId="81" xfId="0" applyNumberFormat="1" applyFont="1" applyFill="1" applyBorder="1" applyAlignment="1">
      <x:alignment wrapText="1"/>
    </x:xf>
    <x:xf numFmtId="0" fontId="4" fillId="0" borderId="82" xfId="0" applyNumberFormat="1" applyFont="1" applyFill="1" applyBorder="1" applyAlignment="1">
      <x:alignment wrapText="1"/>
    </x:xf>
    <x:xf numFmtId="0" fontId="4" fillId="0" borderId="83" xfId="0" applyNumberFormat="1" applyFont="1" applyFill="1" applyBorder="1" applyAlignment="1">
      <x:alignment wrapText="1"/>
    </x:xf>
    <x:xf numFmtId="0" fontId="4" fillId="0" borderId="84" xfId="0" applyNumberFormat="1" applyFont="1" applyFill="1" applyBorder="1" applyAlignment="1">
      <x:alignment wrapText="1"/>
    </x:xf>
    <x:xf numFmtId="0" fontId="4" fillId="0" borderId="85" xfId="0" applyNumberFormat="1" applyFont="1" applyFill="1" applyBorder="1" applyAlignment="1">
      <x:alignment wrapText="1"/>
    </x:xf>
    <x:xf numFmtId="0" fontId="4" fillId="0" borderId="86" xfId="0" applyNumberFormat="1" applyFont="1" applyFill="1" applyBorder="1" applyAlignment="1">
      <x:alignment wrapText="1"/>
    </x:xf>
    <x:xf numFmtId="0" fontId="4" fillId="0" borderId="87" xfId="0" applyNumberFormat="1" applyFont="1" applyFill="1" applyBorder="1" applyAlignment="1">
      <x:alignment wrapText="1"/>
    </x:xf>
    <x:xf numFmtId="0" fontId="4" fillId="0" borderId="88" xfId="0" applyNumberFormat="1" applyFont="1" applyFill="1" applyBorder="1" applyAlignment="1">
      <x:alignment wrapText="1"/>
    </x:xf>
    <x:xf numFmtId="0" fontId="4" fillId="0" borderId="81" xfId="0" applyNumberFormat="1" applyFont="1" applyFill="1" applyBorder="1" applyAlignment="1">
      <x:alignment vertical="center" wrapText="1"/>
    </x:xf>
    <x:xf numFmtId="0" fontId="4" fillId="0" borderId="82" xfId="0" applyNumberFormat="1" applyFont="1" applyFill="1" applyBorder="1" applyAlignment="1">
      <x:alignment vertical="center" wrapText="1"/>
    </x:xf>
    <x:xf numFmtId="0" fontId="4" fillId="0" borderId="83" xfId="0" applyNumberFormat="1" applyFont="1" applyFill="1" applyBorder="1" applyAlignment="1">
      <x:alignment vertical="center" wrapText="1"/>
    </x:xf>
    <x:xf numFmtId="0" fontId="4" fillId="0" borderId="84" xfId="0" applyNumberFormat="1" applyFont="1" applyFill="1" applyBorder="1" applyAlignment="1">
      <x:alignment vertical="center" wrapText="1"/>
    </x:xf>
    <x:xf numFmtId="0" fontId="4" fillId="0" borderId="85" xfId="0" applyNumberFormat="1" applyFont="1" applyFill="1" applyBorder="1" applyAlignment="1">
      <x:alignment vertical="center" wrapText="1"/>
    </x:xf>
    <x:xf numFmtId="0" fontId="4" fillId="0" borderId="86" xfId="0" applyNumberFormat="1" applyFont="1" applyFill="1" applyBorder="1" applyAlignment="1">
      <x:alignment vertical="center" wrapText="1"/>
    </x:xf>
    <x:xf numFmtId="0" fontId="4" fillId="0" borderId="87" xfId="0" applyNumberFormat="1" applyFont="1" applyFill="1" applyBorder="1" applyAlignment="1">
      <x:alignment vertical="center" wrapText="1"/>
    </x:xf>
    <x:xf numFmtId="0" fontId="4" fillId="0" borderId="88" xfId="0" applyNumberFormat="1" applyFont="1" applyFill="1" applyBorder="1" applyAlignment="1">
      <x:alignment vertical="center" wrapText="1"/>
    </x:xf>
    <x:xf numFmtId="0" fontId="7" fillId="39" borderId="0" xfId="0" applyNumberFormat="1" applyFont="1" applyFill="1" applyBorder="1"/>
    <x:xf numFmtId="0" fontId="7" fillId="39" borderId="80" xfId="0" applyNumberFormat="1" applyFont="1" applyFill="1" applyBorder="1"/>
    <x:xf numFmtId="0" fontId="7" fillId="39" borderId="80" xfId="0" applyNumberFormat="1" applyFont="1" applyFill="1" applyBorder="1" applyAlignment="1">
      <x:alignment horizontal="center"/>
    </x:xf>
    <x:xf numFmtId="0" fontId="7" fillId="39" borderId="80" xfId="0" applyNumberFormat="1" applyFont="1" applyFill="1" applyBorder="1" applyAlignment="1">
      <x:alignment horizontal="center" vertical="center"/>
    </x:xf>
    <x:xf numFmtId="0" fontId="5" fillId="0" borderId="92" xfId="0" applyNumberFormat="1" applyFont="1" applyFill="1" applyBorder="1"/>
    <x:xf numFmtId="0" fontId="5" fillId="0" borderId="93" xfId="0" applyNumberFormat="1" applyFont="1" applyFill="1" applyBorder="1"/>
    <x:xf numFmtId="0" fontId="5" fillId="0" borderId="92" xfId="0" applyNumberFormat="1" applyFont="1" applyFill="1" applyBorder="1" applyAlignment="1">
      <x:alignment wrapText="1"/>
    </x:xf>
    <x:xf numFmtId="0" fontId="5" fillId="0" borderId="93" xfId="0" applyNumberFormat="1" applyFont="1" applyFill="1" applyBorder="1" applyAlignment="1">
      <x:alignment wrapText="1"/>
    </x:xf>
    <x:xf numFmtId="0" fontId="5" fillId="0" borderId="92" xfId="0" applyNumberFormat="1" applyFont="1" applyFill="1" applyBorder="1" applyAlignment="1">
      <x:alignment vertical="center" wrapText="1"/>
    </x:xf>
    <x:xf numFmtId="0" fontId="5" fillId="0" borderId="93" xfId="0" applyNumberFormat="1" applyFont="1" applyFill="1" applyBorder="1" applyAlignment="1">
      <x:alignment vertical="center" wrapText="1"/>
    </x:xf>
    <x:xf numFmtId="0" fontId="4" fillId="0" borderId="92" xfId="0" applyNumberFormat="1" applyFont="1" applyFill="1" applyBorder="1"/>
    <x:xf numFmtId="0" fontId="4" fillId="0" borderId="94" xfId="0" applyNumberFormat="1" applyFont="1" applyFill="1" applyBorder="1"/>
    <x:xf numFmtId="0" fontId="4" fillId="0" borderId="93" xfId="0" applyNumberFormat="1" applyFont="1" applyFill="1" applyBorder="1"/>
    <x:xf numFmtId="0" fontId="4" fillId="0" borderId="92" xfId="0" applyNumberFormat="1" applyFont="1" applyFill="1" applyBorder="1" applyAlignment="1">
      <x:alignment wrapText="1"/>
    </x:xf>
    <x:xf numFmtId="0" fontId="4" fillId="0" borderId="94" xfId="0" applyNumberFormat="1" applyFont="1" applyFill="1" applyBorder="1" applyAlignment="1">
      <x:alignment wrapText="1"/>
    </x:xf>
    <x:xf numFmtId="0" fontId="4" fillId="0" borderId="93" xfId="0" applyNumberFormat="1" applyFont="1" applyFill="1" applyBorder="1" applyAlignment="1">
      <x:alignment wrapText="1"/>
    </x:xf>
    <x:xf numFmtId="0" fontId="4" fillId="0" borderId="92" xfId="0" applyNumberFormat="1" applyFont="1" applyFill="1" applyBorder="1" applyAlignment="1">
      <x:alignment vertical="center" wrapText="1"/>
    </x:xf>
    <x:xf numFmtId="0" fontId="4" fillId="0" borderId="94" xfId="0" applyNumberFormat="1" applyFont="1" applyFill="1" applyBorder="1" applyAlignment="1">
      <x:alignment vertical="center" wrapText="1"/>
    </x:xf>
    <x:xf numFmtId="0" fontId="4" fillId="0" borderId="93" xfId="0" applyNumberFormat="1" applyFont="1" applyFill="1" applyBorder="1" applyAlignment="1">
      <x:alignment vertical="center" wrapText="1"/>
    </x:xf>
    <x:xf numFmtId="201" fontId="9" fillId="0" borderId="82" xfId="0" applyNumberFormat="1" applyFont="1" applyFill="1" applyBorder="1" applyAlignment="1">
      <x:alignment vertical="top" wrapText="1"/>
    </x:xf>
    <x:xf numFmtId="201" fontId="9" fillId="0" borderId="87" xfId="0" applyNumberFormat="1" applyFont="1" applyFill="1" applyBorder="1" applyAlignment="1">
      <x:alignment vertical="top" wrapText="1"/>
    </x:xf>
    <x:xf numFmtId="0" fontId="9" fillId="0" borderId="95" xfId="0" applyNumberFormat="1" applyFont="1" applyFill="1" applyBorder="1"/>
    <x:xf numFmtId="0" fontId="9" fillId="0" borderId="96" xfId="0" applyNumberFormat="1" applyFont="1" applyFill="1" applyBorder="1"/>
    <x:xf numFmtId="200" fontId="9" fillId="0" borderId="96" xfId="0" applyNumberFormat="1" applyFont="1" applyFill="1" applyBorder="1"/>
    <x:xf numFmtId="0" fontId="9" fillId="0" borderId="97" xfId="0" applyNumberFormat="1" applyFont="1" applyFill="1" applyBorder="1"/>
    <x:xf numFmtId="0" fontId="9" fillId="0" borderId="98" xfId="0" applyNumberFormat="1" applyFont="1" applyFill="1" applyBorder="1"/>
    <x:xf numFmtId="0" fontId="9" fillId="0" borderId="99" xfId="0" applyNumberFormat="1" applyFont="1" applyFill="1" applyBorder="1"/>
    <x:xf numFmtId="0" fontId="9" fillId="0" borderId="100" xfId="0" applyNumberFormat="1" applyFont="1" applyFill="1" applyBorder="1"/>
    <x:xf numFmtId="0" fontId="9" fillId="0" borderId="101" xfId="0" applyNumberFormat="1" applyFont="1" applyFill="1" applyBorder="1"/>
    <x:xf numFmtId="200" fontId="9" fillId="0" borderId="101" xfId="0" applyNumberFormat="1" applyFont="1" applyFill="1" applyBorder="1"/>
    <x:xf numFmtId="0" fontId="9" fillId="0" borderId="102" xfId="0" applyNumberFormat="1" applyFont="1" applyFill="1" applyBorder="1"/>
    <x:xf numFmtId="0" fontId="9" fillId="0" borderId="95" xfId="0" applyNumberFormat="1" applyFont="1" applyFill="1" applyBorder="1" applyAlignment="1">
      <x:alignment wrapText="1"/>
    </x:xf>
    <x:xf numFmtId="0" fontId="9" fillId="0" borderId="96" xfId="0" applyNumberFormat="1" applyFont="1" applyFill="1" applyBorder="1" applyAlignment="1">
      <x:alignment wrapText="1"/>
    </x:xf>
    <x:xf numFmtId="200" fontId="9" fillId="0" borderId="96" xfId="0" applyNumberFormat="1" applyFont="1" applyFill="1" applyBorder="1" applyAlignment="1">
      <x:alignment wrapText="1"/>
    </x:xf>
    <x:xf numFmtId="0" fontId="9" fillId="0" borderId="97" xfId="0" applyNumberFormat="1" applyFont="1" applyFill="1" applyBorder="1" applyAlignment="1">
      <x:alignment wrapText="1"/>
    </x:xf>
    <x:xf numFmtId="0" fontId="9" fillId="0" borderId="98" xfId="0" applyNumberFormat="1" applyFont="1" applyFill="1" applyBorder="1" applyAlignment="1">
      <x:alignment wrapText="1"/>
    </x:xf>
    <x:xf numFmtId="0" fontId="9" fillId="0" borderId="99" xfId="0" applyNumberFormat="1" applyFont="1" applyFill="1" applyBorder="1" applyAlignment="1">
      <x:alignment wrapText="1"/>
    </x:xf>
    <x:xf numFmtId="0" fontId="9" fillId="0" borderId="100" xfId="0" applyNumberFormat="1" applyFont="1" applyFill="1" applyBorder="1" applyAlignment="1">
      <x:alignment wrapText="1"/>
    </x:xf>
    <x:xf numFmtId="0" fontId="9" fillId="0" borderId="101" xfId="0" applyNumberFormat="1" applyFont="1" applyFill="1" applyBorder="1" applyAlignment="1">
      <x:alignment wrapText="1"/>
    </x:xf>
    <x:xf numFmtId="200" fontId="9" fillId="0" borderId="101" xfId="0" applyNumberFormat="1" applyFont="1" applyFill="1" applyBorder="1" applyAlignment="1">
      <x:alignment wrapText="1"/>
    </x:xf>
    <x:xf numFmtId="0" fontId="9" fillId="0" borderId="102" xfId="0" applyNumberFormat="1" applyFont="1" applyFill="1" applyBorder="1" applyAlignment="1">
      <x:alignment wrapText="1"/>
    </x:xf>
    <x:xf numFmtId="0" fontId="9" fillId="0" borderId="95" xfId="0" applyNumberFormat="1" applyFont="1" applyFill="1" applyBorder="1" applyAlignment="1">
      <x:alignment vertical="center" wrapText="1"/>
    </x:xf>
    <x:xf numFmtId="0" fontId="9" fillId="0" borderId="96" xfId="0" applyNumberFormat="1" applyFont="1" applyFill="1" applyBorder="1" applyAlignment="1">
      <x:alignment vertical="center" wrapText="1"/>
    </x:xf>
    <x:xf numFmtId="200" fontId="9" fillId="0" borderId="96" xfId="0" applyNumberFormat="1" applyFont="1" applyFill="1" applyBorder="1" applyAlignment="1">
      <x:alignment vertical="center" wrapText="1"/>
    </x:xf>
    <x:xf numFmtId="0" fontId="9" fillId="0" borderId="97" xfId="0" applyNumberFormat="1" applyFont="1" applyFill="1" applyBorder="1" applyAlignment="1">
      <x:alignment vertical="center" wrapText="1"/>
    </x:xf>
    <x:xf numFmtId="0" fontId="9" fillId="0" borderId="98" xfId="0" applyNumberFormat="1" applyFont="1" applyFill="1" applyBorder="1" applyAlignment="1">
      <x:alignment vertical="center" wrapText="1"/>
    </x:xf>
    <x:xf numFmtId="0" fontId="9" fillId="0" borderId="99" xfId="0" applyNumberFormat="1" applyFont="1" applyFill="1" applyBorder="1" applyAlignment="1">
      <x:alignment vertical="center" wrapText="1"/>
    </x:xf>
    <x:xf numFmtId="0" fontId="9" fillId="0" borderId="100" xfId="0" applyNumberFormat="1" applyFont="1" applyFill="1" applyBorder="1" applyAlignment="1">
      <x:alignment vertical="center" wrapText="1"/>
    </x:xf>
    <x:xf numFmtId="0" fontId="9" fillId="0" borderId="101" xfId="0" applyNumberFormat="1" applyFont="1" applyFill="1" applyBorder="1" applyAlignment="1">
      <x:alignment vertical="center" wrapText="1"/>
    </x:xf>
    <x:xf numFmtId="200" fontId="9" fillId="0" borderId="101" xfId="0" applyNumberFormat="1" applyFont="1" applyFill="1" applyBorder="1" applyAlignment="1">
      <x:alignment vertical="center" wrapText="1"/>
    </x:xf>
    <x:xf numFmtId="0" fontId="9" fillId="0" borderId="102" xfId="0" applyNumberFormat="1" applyFont="1" applyFill="1" applyBorder="1" applyAlignment="1">
      <x:alignment vertical="center" wrapText="1"/>
    </x:xf>
  </x:cellXfs>
  <x:cellStyles count="2">
    <x:cellStyle name="Обычный" xfId="0"/>
    <x:cellStyle name="Normal" xfId="1"/>
  </x:cellStyles>
  <x:dxfs count="18"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color rgb="FF8A2D2D"/>
      </x:font>
      <x:fill>
        <x:patternFill>
          <x:bgColor rgb="FFFCE1E1"/>
        </x:patternFill>
      </x:fill>
    </x:dxf>
    <x:dxf>
      <x:font>
        <x:color rgb="FF765800"/>
      </x:font>
      <x:fill>
        <x:patternFill>
          <x:bgColor rgb="FFFFF1C9"/>
        </x:patternFill>
      </x:fill>
    </x:dxf>
    <x:dxf>
      <x:font>
        <x:color rgb="FF22563A"/>
      </x:font>
      <x:fill>
        <x:patternFill>
          <x:bgColor rgb="FFDDF3E7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765800"/>
      </x:font>
      <x:fill>
        <x:patternFill patternType="solid">
          <x:bgColor rgb="FFFFF1C9"/>
        </x:patternFill>
      </x:fill>
    </x:dxf>
    <x:dxf>
      <x:font>
        <x:b/>
        <x:color rgb="FF16283F"/>
      </x:font>
      <x:fill>
        <x:patternFill patternType="solid">
          <x:bgColor rgb="FFEAF1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e692c0f0c416a" /><Relationship Type="http://schemas.openxmlformats.org/officeDocument/2006/relationships/theme" Target="/xl/theme/theme1.xml" Id="Ra8ee2ad2fc9a4435" /><Relationship Type="http://schemas.openxmlformats.org/officeDocument/2006/relationships/sharedStrings" Target="/xl/sharedStrings.xml" Id="R624f5849c68847a0" /><Relationship Type="http://schemas.openxmlformats.org/officeDocument/2006/relationships/worksheet" Target="/xl/worksheets/sheet1.xml" Id="R8f0087050fee41b2" /><Relationship Type="http://schemas.openxmlformats.org/officeDocument/2006/relationships/worksheet" Target="/xl/worksheets/sheet2.xml" Id="R4fcd5505f73b44ae" /><Relationship Type="http://schemas.openxmlformats.org/officeDocument/2006/relationships/worksheet" Target="/xl/worksheets/sheet3.xml" Id="Raf3ee3ca74a3456e" /><Relationship Type="http://schemas.openxmlformats.org/officeDocument/2006/relationships/worksheet" Target="/xl/worksheets/sheet4.xml" Id="R4dcb8a45df9144ea" /><Relationship Type="http://schemas.openxmlformats.org/officeDocument/2006/relationships/worksheet" Target="/xl/worksheets/sheet5.xml" Id="R162a76b5a43b473e" /><Relationship Type="http://schemas.openxmlformats.org/officeDocument/2006/relationships/worksheet" Target="/xl/worksheets/sheet6.xml" Id="R4e9b395e7e624cc9" /><Relationship Type="http://schemas.openxmlformats.org/officeDocument/2006/relationships/worksheet" Target="/xl/worksheets/sheet7.xml" Id="Re272e2712f24428b" /><Relationship Type="http://schemas.openxmlformats.org/officeDocument/2006/relationships/worksheet" Target="/xl/worksheets/sheet8.xml" Id="R9699a576020d41d9" /><Relationship Type="http://schemas.openxmlformats.org/officeDocument/2006/relationships/worksheet" Target="/xl/worksheets/sheet9.xml" Id="Rf902f5e333834a3d" /><Relationship Type="http://schemas.openxmlformats.org/officeDocument/2006/relationships/worksheet" Target="/xl/worksheets/sheet10.xml" Id="R9b16fed5d43d46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eae9c955524dfe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Результаты Assessment Week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Dashboard!$A$20:$A$26</c:f>
              <c:strCache>
                <c:ptCount val="7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  <c:pt idx="3">
                  <c:v>Экзамен 4</c:v>
                </c:pt>
                <c:pt idx="4">
                  <c:v>Экзамен 5</c:v>
                </c:pt>
                <c:pt idx="5">
                  <c:v>Экзамен 6</c:v>
                </c:pt>
                <c:pt idx="6">
                  <c:v>Экзамен 7</c:v>
                </c:pt>
              </c:strCache>
            </c:strRef>
          </c:cat>
          <c:val>
            <c:numRef>
              <c:f>Dashboard!$B$20:$B$26</c:f>
              <c:numCache>
                <c:formatCode>0.0</c:formatCode>
                <c:ptCount val="7"/>
                <c:pt idx="0">
                  <c:v>24.75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eae9c955524d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8d7a67e689419c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3" width="14" customWidth="1"/>
    <x:col min="4" max="4" width="6" customWidth="1"/>
    <x:col min="5" max="5" width="14" customWidth="1"/>
    <x:col min="6" max="8" width="20" customWidth="1"/>
    <x:col min="9" max="10" width="14" customWidth="1"/>
  </x:cols>
  <x:sheetData>
    <x:row r="1">
      <x:c r="A1" s="84" t="s">
        <x:v>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</x:row>
    <x:row r="3" ht="45.25" customHeight="1">
      <x:c r="A3" s="85" t="s">
        <x:v>1</x:v>
      </x:c>
      <x:c r="B3" s="85"/>
      <x:c r="C3" s="85"/>
      <x:c r="D3" s="85"/>
      <x:c r="E3" s="85"/>
      <x:c r="F3" s="85"/>
      <x:c r="G3" s="85"/>
      <x:c r="H3" s="85"/>
      <x:c r="I3" s="85"/>
      <x:c r="J3" s="85"/>
    </x:row>
    <x:row r="5">
      <x:c r="A5" s="86" t="s">
        <x:v>2</x:v>
      </x:c>
      <x:c r="B5" s="86"/>
      <x:c r="C5" s="86"/>
      <x:c r="D5" s="86"/>
      <x:c r="E5" s="86"/>
      <x:c r="F5" s="86"/>
      <x:c r="G5" s="86"/>
      <x:c r="H5" s="86"/>
      <x:c r="I5" s="86"/>
      <x:c r="J5" s="86"/>
    </x:row>
    <x:row r="7">
      <x:c r="A7" s="87" t="s">
        <x:v>3</x:v>
      </x:c>
      <x:c r="B7" s="88"/>
      <x:c r="C7" s="87" t="s">
        <x:v>4</x:v>
      </x:c>
      <x:c r="D7" s="88"/>
      <x:c r="E7" s="87" t="s">
        <x:v>5</x:v>
      </x:c>
      <x:c r="F7" s="88"/>
      <x:c r="G7" s="87" t="s">
        <x:v>6</x:v>
      </x:c>
      <x:c r="H7" s="88"/>
      <x:c r="I7" s="87" t="s">
        <x:v>7</x:v>
      </x:c>
      <x:c r="J7" s="88"/>
    </x:row>
    <x:row r="8" ht="26">
      <x:c r="A8" s="89" t="n">
        <x:f>COUNTA(Exams!C3:C9)</x:f>
        <x:v>7</x:v>
      </x:c>
      <x:c r="B8" s="90"/>
      <x:c r="C8" s="89" t="n">
        <x:f>COUNTIF(Exams!D3:D9,"Завершен")</x:f>
        <x:v>4</x:v>
      </x:c>
      <x:c r="D8" s="90"/>
      <x:c r="E8" s="91" t="n">
        <x:f>IFERROR(AVERAGEIF(Exams!D3:D9,"Завершен",Exams!O3:O9),0)</x:f>
        <x:v>50.41250000000001</x:v>
      </x:c>
      <x:c r="F8" s="90"/>
      <x:c r="G8" s="92" t="n">
        <x:f>IFERROR(AVERAGEIF(Exams!D3:D9,"Завершен",Exams!R3:R9),0)</x:f>
        <x:v>1.55</x:v>
      </x:c>
      <x:c r="H8" s="90"/>
      <x:c r="I8" s="91" t="n">
        <x:f>IFERROR(AVERAGEIF(Exams!D3:D9,"Завершен",Exams!Q3:Q9),0)</x:f>
        <x:v>44.4375</x:v>
      </x:c>
      <x:c r="J8" s="90"/>
    </x:row>
    <x:row r="9">
      <x:c r="A9" s="2"/>
      <x:c r="B9" s="3"/>
      <x:c r="C9" s="2"/>
      <x:c r="D9" s="3"/>
      <x:c r="E9" s="2"/>
      <x:c r="F9" s="3"/>
      <x:c r="G9" s="2"/>
      <x:c r="H9" s="3"/>
      <x:c r="I9" s="2"/>
      <x:c r="J9" s="3"/>
    </x:row>
    <x:row r="11">
      <x:c r="A11" s="87" t="s">
        <x:v>8</x:v>
      </x:c>
      <x:c r="B11" s="88"/>
      <x:c r="D11" s="86" t="s">
        <x:v>9</x:v>
      </x:c>
      <x:c r="E11" s="86"/>
      <x:c r="F11" s="86"/>
      <x:c r="G11" s="86"/>
      <x:c r="H11" s="86"/>
      <x:c r="I11" s="86"/>
      <x:c r="J11" s="86"/>
    </x:row>
    <x:row r="12" ht="45.25" customHeight="1">
      <x:c r="A12" s="89" t="n">
        <x:f>COUNTIF(Review_Log!D5:D100,"Запланировано")</x:f>
        <x:v>27</x:v>
      </x:c>
      <x:c r="B12" s="90"/>
      <x:c r="D12" s="4" t="s">
        <x:v>10</x:v>
      </x:c>
      <x:c r="E12" s="7" t="s">
        <x:v>11</x:v>
      </x:c>
      <x:c r="F12" s="93" t="s">
        <x:v>12</x:v>
      </x:c>
      <x:c r="G12" s="94"/>
      <x:c r="H12" s="94"/>
      <x:c r="I12" s="94"/>
      <x:c r="J12" s="95"/>
    </x:row>
    <x:row r="13" ht="45.25" customHeight="1">
      <x:c r="A13" s="2"/>
      <x:c r="B13" s="3"/>
      <x:c r="D13" s="5" t="s">
        <x:v>13</x:v>
      </x:c>
      <x:c r="E13" s="8" t="s">
        <x:v>14</x:v>
      </x:c>
      <x:c r="F13" s="93" t="s">
        <x:v>15</x:v>
      </x:c>
      <x:c r="G13" s="94"/>
      <x:c r="H13" s="94"/>
      <x:c r="I13" s="94"/>
      <x:c r="J13" s="95"/>
    </x:row>
    <x:row r="14" ht="45.25" customHeight="1">
      <x:c r="D14" s="5" t="s">
        <x:v>16</x:v>
      </x:c>
      <x:c r="E14" s="8" t="s">
        <x:v>17</x:v>
      </x:c>
      <x:c r="F14" s="93" t="s">
        <x:v>18</x:v>
      </x:c>
      <x:c r="G14" s="94"/>
      <x:c r="H14" s="94"/>
      <x:c r="I14" s="94"/>
      <x:c r="J14" s="95"/>
    </x:row>
    <x:row r="15" ht="45.25" customHeight="1">
      <x:c r="D15" s="5" t="s">
        <x:v>19</x:v>
      </x:c>
      <x:c r="E15" s="8" t="s">
        <x:v>20</x:v>
      </x:c>
      <x:c r="F15" s="93" t="s">
        <x:v>21</x:v>
      </x:c>
      <x:c r="G15" s="94"/>
      <x:c r="H15" s="94"/>
      <x:c r="I15" s="94"/>
      <x:c r="J15" s="95"/>
    </x:row>
    <x:row r="16" ht="45.25" customHeight="1">
      <x:c r="D16" s="6" t="s">
        <x:v>22</x:v>
      </x:c>
      <x:c r="E16" s="9" t="s">
        <x:v>23</x:v>
      </x:c>
      <x:c r="F16" s="93" t="s">
        <x:v>24</x:v>
      </x:c>
      <x:c r="G16" s="94"/>
      <x:c r="H16" s="94"/>
      <x:c r="I16" s="94"/>
      <x:c r="J16" s="95"/>
    </x:row>
    <x:row r="18">
      <x:c r="A18" s="86" t="s">
        <x:v>25</x:v>
      </x:c>
      <x:c r="B18" s="86"/>
      <x:c r="C18" s="86"/>
      <x:c r="D18" s="86"/>
      <x:c r="E18" s="86"/>
      <x:c r="F18" s="86"/>
      <x:c r="G18" s="86"/>
      <x:c r="H18" s="86"/>
      <x:c r="I18" s="86"/>
      <x:c r="J18" s="86"/>
    </x:row>
    <x:row r="20">
      <x:c r="A20" s="10" t="s">
        <x:v>26</x:v>
      </x:c>
      <x:c r="B20" s="11" t="n">
        <x:f>Exams!O3</x:f>
        <x:v>24.75</x:v>
      </x:c>
    </x:row>
    <x:row r="21">
      <x:c r="A21" s="10" t="s">
        <x:v>27</x:v>
      </x:c>
      <x:c r="B21" s="11" t="n">
        <x:f>Exams!O4</x:f>
        <x:v>62.40000000000001</x:v>
      </x:c>
    </x:row>
    <x:row r="22">
      <x:c r="A22" s="10" t="s">
        <x:v>28</x:v>
      </x:c>
      <x:c r="B22" s="11" t="n">
        <x:f>Exams!O5</x:f>
        <x:v>43.7</x:v>
      </x:c>
    </x:row>
    <x:row r="23">
      <x:c r="A23" s="10" t="s">
        <x:v>29</x:v>
      </x:c>
      <x:c r="B23" s="11" t="n">
        <x:f>Exams!O6</x:f>
        <x:v>70.8</x:v>
      </x:c>
    </x:row>
    <x:row r="24">
      <x:c r="A24" s="10" t="s">
        <x:v>30</x:v>
      </x:c>
      <x:c r="B24" s="11" t="n">
        <x:f>Exams!O7</x:f>
        <x:v>0</x:v>
      </x:c>
    </x:row>
    <x:row r="25">
      <x:c r="A25" s="10" t="s">
        <x:v>31</x:v>
      </x:c>
      <x:c r="B25" s="11" t="n">
        <x:f>Exams!O8</x:f>
        <x:v>0</x:v>
      </x:c>
    </x:row>
    <x:row r="26">
      <x:c r="A26" s="10" t="s">
        <x:v>32</x:v>
      </x:c>
      <x:c r="B26" s="11" t="n">
        <x:f>Exams!O9</x:f>
        <x:v>0</x:v>
      </x:c>
    </x:row>
  </x:sheetData>
  <x:mergeCells>
    <x:mergeCell ref="I8:J8"/>
    <x:mergeCell ref="A12:B12"/>
    <x:mergeCell ref="D11:J11"/>
    <x:mergeCell ref="A18:J18"/>
    <x:mergeCell ref="F12:J12"/>
    <x:mergeCell ref="F13:J13"/>
    <x:mergeCell ref="F14:J14"/>
    <x:mergeCell ref="F15:J15"/>
    <x:mergeCell ref="F16:J16"/>
    <x:mergeCell ref="A11:B11"/>
    <x:mergeCell ref="A8:B8"/>
    <x:mergeCell ref="C8:D8"/>
    <x:mergeCell ref="E8:F8"/>
    <x:mergeCell ref="G8:H8"/>
    <x:mergeCell ref="A1:J2"/>
    <x:mergeCell ref="A3:J3"/>
    <x:mergeCell ref="A5:J5"/>
    <x:mergeCell ref="A7:B7"/>
    <x:mergeCell ref="C7:D7"/>
    <x:mergeCell ref="E7:F7"/>
    <x:mergeCell ref="G7:H7"/>
    <x:mergeCell ref="I7:J7"/>
  </x:mergeCells>
  <x:pageMargins left="0.7" right="0.7" top="0.75" bottom="0.75" header="0.3" footer="0.3"/>
  <x:drawing xmlns:r="http://schemas.openxmlformats.org/officeDocument/2006/relationships" r:id="R0b8d7a67e689419c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5" customWidth="1"/>
    <x:col min="2" max="2" width="12" customWidth="1"/>
    <x:col min="3" max="3" width="25" customWidth="1"/>
    <x:col min="4" max="4" width="14" customWidth="1"/>
    <x:col min="5" max="6" width="11" customWidth="1"/>
    <x:col min="7" max="7" width="10" customWidth="1"/>
    <x:col min="8" max="8" width="15" customWidth="1"/>
    <x:col min="9" max="9" width="14" customWidth="1"/>
    <x:col min="10" max="10" width="13" customWidth="1"/>
    <x:col min="11" max="11" width="12" customWidth="1"/>
    <x:col min="12" max="12" width="11" customWidth="1"/>
    <x:col min="13" max="13" width="10" customWidth="1"/>
    <x:col min="14" max="14" width="11" customWidth="1"/>
    <x:col min="15" max="15" width="10" customWidth="1"/>
    <x:col min="16" max="16" width="15" customWidth="1"/>
    <x:col min="17" max="17" width="14" customWidth="1"/>
    <x:col min="18" max="18" width="10" customWidth="1"/>
    <x:col min="19" max="19" width="15" customWidth="1"/>
    <x:col min="20" max="20" width="11" customWidth="1"/>
    <x:col min="21" max="21" width="13" customWidth="1"/>
    <x:col min="22" max="24" width="28" customWidth="1"/>
  </x:cols>
  <x:sheetData>
    <x:row r="1" ht="23">
      <x:c r="A1" s="84" t="s">
        <x:v>33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1"/>
      <x:c r="V1" s="1"/>
      <x:c r="W1" s="1"/>
      <x:c r="X1" s="1"/>
    </x:row>
    <x:row r="2" ht="56" customHeight="1">
      <x:c r="A2" s="55" t="s">
        <x:v>34</x:v>
      </x:c>
      <x:c r="B2" s="55" t="s">
        <x:v>35</x:v>
      </x:c>
      <x:c r="C2" s="55" t="s">
        <x:v>36</x:v>
      </x:c>
      <x:c r="D2" s="55" t="s">
        <x:v>37</x:v>
      </x:c>
      <x:c r="E2" s="55" t="s">
        <x:v>38</x:v>
      </x:c>
      <x:c r="F2" s="55" t="s">
        <x:v>39</x:v>
      </x:c>
      <x:c r="G2" s="55" t="s">
        <x:v>40</x:v>
      </x:c>
      <x:c r="H2" s="55" t="s">
        <x:v>41</x:v>
      </x:c>
      <x:c r="I2" s="55" t="s">
        <x:v>42</x:v>
      </x:c>
      <x:c r="J2" s="55" t="s">
        <x:v>43</x:v>
      </x:c>
      <x:c r="K2" s="55" t="s">
        <x:v>44</x:v>
      </x:c>
      <x:c r="L2" s="55" t="s">
        <x:v>45</x:v>
      </x:c>
      <x:c r="M2" s="55" t="s">
        <x:v>46</x:v>
      </x:c>
      <x:c r="N2" s="55" t="s">
        <x:v>47</x:v>
      </x:c>
      <x:c r="O2" s="55" t="s">
        <x:v>48</x:v>
      </x:c>
      <x:c r="P2" s="55" t="s">
        <x:v>49</x:v>
      </x:c>
      <x:c r="Q2" s="55" t="s">
        <x:v>50</x:v>
      </x:c>
      <x:c r="R2" s="55" t="s">
        <x:v>51</x:v>
      </x:c>
      <x:c r="S2" s="55" t="s">
        <x:v>52</x:v>
      </x:c>
      <x:c r="T2" s="55" t="s">
        <x:v>53</x:v>
      </x:c>
      <x:c r="U2" s="12" t="s">
        <x:v>51</x:v>
      </x:c>
      <x:c r="V2" s="12" t="s">
        <x:v>52</x:v>
      </x:c>
      <x:c r="W2" s="12" t="s">
        <x:v>54</x:v>
      </x:c>
      <x:c r="X2" s="12" t="s">
        <x:v>53</x:v>
      </x:c>
    </x:row>
    <x:row r="3" ht="96" customHeight="1">
      <x:c r="A3" s="13">
        <x:v>1</x:v>
      </x:c>
      <x:c r="B3" s="19" t="s">
        <x:v>55</x:v>
      </x:c>
      <x:c r="C3" s="22" t="s">
        <x:v>56</x:v>
      </x:c>
      <x:c r="D3" s="14" t="s">
        <x:v>57</x:v>
      </x:c>
      <x:c r="E3" s="14">
        <x:v>32</x:v>
      </x:c>
      <x:c r="F3" s="14">
        <x:v>14</x:v>
      </x:c>
      <x:c r="G3" s="14">
        <x:v>20</x:v>
      </x:c>
      <x:c r="H3" s="14">
        <x:v>2</x:v>
      </x:c>
      <x:c r="I3" s="14">
        <x:v>20</x:v>
      </x:c>
      <x:c r="J3" s="14">
        <x:v>2.5</x:v>
      </x:c>
      <x:c r="K3" s="14">
        <x:v>20</x:v>
      </x:c>
      <x:c r="L3" s="14">
        <x:v>5.25</x:v>
      </x:c>
      <x:c r="M3" s="14">
        <x:v>20</x:v>
      </x:c>
      <x:c r="N3" s="14">
        <x:v>1</x:v>
      </x:c>
      <x:c r="O3" s="29" t="n">
        <x:f>(F3+H3+J3+L3+N3)/100*100</x:f>
        <x:v>24.75</x:v>
      </x:c>
      <x:c r="P3" s="29">
        <x:v>0.6</x:v>
      </x:c>
      <x:c r="Q3" s="29" t="n">
        <x:f>L3/M3*100</x:f>
        <x:v>26.25</x:v>
      </x:c>
      <x:c r="R3" s="29">
        <x:v>0.8</x:v>
      </x:c>
      <x:c r="S3" s="23" t="s">
        <x:v>58</x:v>
      </x:c>
      <x:c r="T3" s="54" t="s">
        <x:v>59</x:v>
      </x:c>
      <x:c r="U3" s="28"/>
      <x:c r="V3" s="22"/>
      <x:c r="W3" s="22"/>
      <x:c r="X3" s="25"/>
    </x:row>
    <x:row r="4" ht="78" customHeight="1">
      <x:c r="A4" s="15">
        <x:v>2</x:v>
      </x:c>
      <x:c r="B4" s="20" t="s">
        <x:v>60</x:v>
      </x:c>
      <x:c r="C4" s="23" t="s">
        <x:v>61</x:v>
      </x:c>
      <x:c r="D4" s="16" t="str">
        <x:v>Завершен</x:v>
      </x:c>
      <x:c r="E4" s="16" t="n">
        <x:v>147</x:v>
      </x:c>
      <x:c r="F4" s="16" t="n">
        <x:v>17</x:v>
      </x:c>
      <x:c r="G4" s="16">
        <x:v>20</x:v>
      </x:c>
      <x:c r="H4" s="16" t="n">
        <x:v>14.8</x:v>
      </x:c>
      <x:c r="I4" s="16">
        <x:v>20</x:v>
      </x:c>
      <x:c r="J4" s="16" t="n">
        <x:v>11.8</x:v>
      </x:c>
      <x:c r="K4" s="16">
        <x:v>20</x:v>
      </x:c>
      <x:c r="L4" s="16" t="n">
        <x:v>8.3</x:v>
      </x:c>
      <x:c r="M4" s="16">
        <x:v>20</x:v>
      </x:c>
      <x:c r="N4" s="16" t="n">
        <x:v>10.5</x:v>
      </x:c>
      <x:c r="O4" s="170" t="n">
        <x:f t="shared" ref="O4:O9" si="0">(F4+H4+J4+L4+N4)/100*100</x:f>
        <x:v>62.40000000000001</x:v>
      </x:c>
      <x:c r="P4" s="170" t="n">
        <x:v>1.3</x:v>
      </x:c>
      <x:c r="Q4" s="170" t="n">
        <x:f t="shared" ref="Q4:Q9" si="1">L4/M4*100</x:f>
        <x:v>41.5</x:v>
      </x:c>
      <x:c r="R4" s="170" t="n">
        <x:v>1.8</x:v>
      </x:c>
      <x:c r="S4" s="171" t="str">
        <x:v>Programming &amp; Automation заметно сильнее Computer Science: хорошее узнавание базы и неплохое инженерное рассуждение, особенно Git/HTTP и декомпозиция автоматизации. Главный разрыв — между пониманием логики и способностью без документации написать корректный Python/Bash/SQL.</x:v>
      </x:c>
      <x:c r="T4" s="172" t="str">
        <x:v>После Assessment Week: системно восстановить Python syntax/data structures → практику файлов и exceptions → Bash pipelines → SQL GROUP BY/HAVING/joins → REST API client patterns → надежную автоматизацию. Git оставить в режиме регулярной практики, а не изучать заново.</x:v>
      </x:c>
      <x:c r="U4" s="29"/>
      <x:c r="V4" s="23"/>
      <x:c r="W4" s="23"/>
      <x:c r="X4" s="26"/>
    </x:row>
    <x:row r="5" ht="82" customHeight="1">
      <x:c r="A5" s="15">
        <x:v>3</x:v>
      </x:c>
      <x:c r="B5" s="20" t="s">
        <x:v>62</x:v>
      </x:c>
      <x:c r="C5" s="23" t="s">
        <x:v>63</x:v>
      </x:c>
      <x:c r="D5" s="16" t="str">
        <x:v>Завершен</x:v>
      </x:c>
      <x:c r="E5" s="16" t="n">
        <x:v>125</x:v>
      </x:c>
      <x:c r="F5" s="16" t="n">
        <x:v>13</x:v>
      </x:c>
      <x:c r="G5" s="16">
        <x:v>20</x:v>
      </x:c>
      <x:c r="H5" s="16" t="n">
        <x:v>9</x:v>
      </x:c>
      <x:c r="I5" s="16">
        <x:v>20</x:v>
      </x:c>
      <x:c r="J5" s="16" t="n">
        <x:v>6.6</x:v>
      </x:c>
      <x:c r="K5" s="16">
        <x:v>20</x:v>
      </x:c>
      <x:c r="L5" s="16" t="n">
        <x:v>6.5</x:v>
      </x:c>
      <x:c r="M5" s="16">
        <x:v>20</x:v>
      </x:c>
      <x:c r="N5" s="16" t="n">
        <x:v>8.6</x:v>
      </x:c>
      <x:c r="O5" s="170" t="n">
        <x:f t="shared" si="0">(F5+H5+J5+L5+N5)/100*100</x:f>
        <x:v>43.7</x:v>
      </x:c>
      <x:c r="P5" s="170" t="n">
        <x:v>1.2</x:v>
      </x:c>
      <x:c r="Q5" s="170" t="n">
        <x:f t="shared" si="1">L5/M5*100</x:f>
        <x:v>32.5</x:v>
      </x:c>
      <x:c r="R5" s="170" t="n">
        <x:v>1.3</x:v>
      </x:c>
      <x:c r="S5" s="171" t="str">
        <x:v>Linux &amp; Systems находится между Exam 01 и Exam 02: базовые термины и часть прикладной интуиции сохранены, но системная модель Linux фрагментарна. Лучше всего проявились SSH, базовая сеть и здравый порядок диагностики; слабее всего — storage/inodes, process signals, systemd internals и точные команды.</x:v>
      </x:c>
      <x:c r="T5" s="172" t="str">
        <x:v>После Assessment Week: users/groups/permissions → processes/signals → systemd/journal → storage/filesystems/inodes → SSH hardening → sockets/network diagnostics. Обязательно закреплять на VM реальными командами и аварийными сценариями.</x:v>
      </x:c>
      <x:c r="U5" s="29"/>
      <x:c r="V5" s="23"/>
      <x:c r="W5" s="23"/>
      <x:c r="X5" s="26"/>
    </x:row>
    <x:row r="6" ht="84" customHeight="1">
      <x:c r="A6" s="15">
        <x:v>4</x:v>
      </x:c>
      <x:c r="B6" s="20" t="s">
        <x:v>64</x:v>
      </x:c>
      <x:c r="C6" s="23" t="s">
        <x:v>65</x:v>
      </x:c>
      <x:c r="D6" s="16" t="str">
        <x:v>Завершен</x:v>
      </x:c>
      <x:c r="E6" s="16" t="str">
        <x:v>не указано</x:v>
      </x:c>
      <x:c r="F6" s="16" t="n">
        <x:v>20</x:v>
      </x:c>
      <x:c r="G6" s="16">
        <x:v>20</x:v>
      </x:c>
      <x:c r="H6" s="16" t="n">
        <x:v>14.2</x:v>
      </x:c>
      <x:c r="I6" s="16">
        <x:v>20</x:v>
      </x:c>
      <x:c r="J6" s="16" t="n">
        <x:v>10.8</x:v>
      </x:c>
      <x:c r="K6" s="16">
        <x:v>20</x:v>
      </x:c>
      <x:c r="L6" s="16" t="n">
        <x:v>15.5</x:v>
      </x:c>
      <x:c r="M6" s="16">
        <x:v>20</x:v>
      </x:c>
      <x:c r="N6" s="16" t="n">
        <x:v>10.3</x:v>
      </x:c>
      <x:c r="O6" s="170" t="n">
        <x:f t="shared" si="0">(F6+H6+J6+L6+N6)/100*100</x:f>
        <x:v>70.8</x:v>
      </x:c>
      <x:c r="P6" s="170" t="n">
        <x:v>2</x:v>
      </x:c>
      <x:c r="Q6" s="170" t="n">
        <x:f t="shared" si="1">L6/M6*100</x:f>
        <x:v>77.5</x:v>
      </x:c>
      <x:c r="R6" s="170" t="n">
        <x:v>2.3</x:v>
      </x:c>
      <x:c r="S6" s="171" t="str">
        <x:v>Networks &amp; Network Security — пока самая сильная область Assessment Week. Рабочий опыт хорошо конвертируется в VLAN/trunk, subnetting, routing, NAT/firewall и layered troubleshooting. Главный пробел — точная внутренняя модель packet flow и разграничение механизмов отказоустойчивости L2/L3.</x:v>
      </x:c>
      <x:c r="T6" s="172" t="str">
        <x:v>Не переучивать сети с нуля. Углубить packet flow (ARP/MAC/IP/TTL) → L2 domains/STP → LAG/LACP отдельно от MLAG/VRRP → inter-VLAN/SVI/VRRP → stateful firewall/ACL → диагностические labs. Сетевые знания сделать постоянной опорой следующих спринтов.</x:v>
      </x:c>
      <x:c r="U6" s="29"/>
      <x:c r="V6" s="23"/>
      <x:c r="W6" s="23"/>
      <x:c r="X6" s="26"/>
    </x:row>
    <x:row r="7" ht="48" customHeight="1">
      <x:c r="A7" s="15">
        <x:v>5</x:v>
      </x:c>
      <x:c r="B7" s="20" t="s">
        <x:v>66</x:v>
      </x:c>
      <x:c r="C7" s="23" t="s">
        <x:v>67</x:v>
      </x:c>
      <x:c r="D7" s="16" t="s">
        <x:v>68</x:v>
      </x:c>
      <x:c r="E7" s="16">
        <x:v>150</x:v>
      </x:c>
      <x:c r="F7" s="16"/>
      <x:c r="G7" s="16">
        <x:v>20</x:v>
      </x:c>
      <x:c r="H7" s="16"/>
      <x:c r="I7" s="16">
        <x:v>20</x:v>
      </x:c>
      <x:c r="J7" s="16"/>
      <x:c r="K7" s="16">
        <x:v>20</x:v>
      </x:c>
      <x:c r="L7" s="16"/>
      <x:c r="M7" s="16">
        <x:v>20</x:v>
      </x:c>
      <x:c r="N7" s="16"/>
      <x:c r="O7" s="29">
        <x:f t="shared" si="0"/>
        <x:v>0</x:v>
      </x:c>
      <x:c r="P7" s="16"/>
      <x:c r="Q7" s="29">
        <x:f t="shared" si="1"/>
        <x:v>0</x:v>
      </x:c>
      <x:c r="R7" s="29"/>
      <x:c r="S7" s="23" t="s">
        <x:v>69</x:v>
      </x:c>
      <x:c r="T7" s="50"/>
      <x:c r="U7" s="29"/>
      <x:c r="V7" s="23"/>
      <x:c r="W7" s="23"/>
      <x:c r="X7" s="26"/>
    </x:row>
    <x:row r="8" ht="48" customHeight="1">
      <x:c r="A8" s="15">
        <x:v>6</x:v>
      </x:c>
      <x:c r="B8" s="20" t="s">
        <x:v>70</x:v>
      </x:c>
      <x:c r="C8" s="23" t="s">
        <x:v>71</x:v>
      </x:c>
      <x:c r="D8" s="16" t="s">
        <x:v>68</x:v>
      </x:c>
      <x:c r="E8" s="16">
        <x:v>180</x:v>
      </x:c>
      <x:c r="F8" s="16"/>
      <x:c r="G8" s="16">
        <x:v>20</x:v>
      </x:c>
      <x:c r="H8" s="16"/>
      <x:c r="I8" s="16">
        <x:v>20</x:v>
      </x:c>
      <x:c r="J8" s="16"/>
      <x:c r="K8" s="16">
        <x:v>20</x:v>
      </x:c>
      <x:c r="L8" s="16"/>
      <x:c r="M8" s="16">
        <x:v>20</x:v>
      </x:c>
      <x:c r="N8" s="16"/>
      <x:c r="O8" s="29">
        <x:f t="shared" si="0"/>
        <x:v>0</x:v>
      </x:c>
      <x:c r="P8" s="16"/>
      <x:c r="Q8" s="29">
        <x:f t="shared" si="1"/>
        <x:v>0</x:v>
      </x:c>
      <x:c r="R8" s="29"/>
      <x:c r="S8" s="23" t="s">
        <x:v>72</x:v>
      </x:c>
      <x:c r="T8" s="50"/>
      <x:c r="U8" s="29"/>
      <x:c r="V8" s="23"/>
      <x:c r="W8" s="23"/>
      <x:c r="X8" s="26"/>
    </x:row>
    <x:row r="9" ht="48" customHeight="1">
      <x:c r="A9" s="17">
        <x:v>7</x:v>
      </x:c>
      <x:c r="B9" s="21" t="s">
        <x:v>73</x:v>
      </x:c>
      <x:c r="C9" s="24" t="s">
        <x:v>74</x:v>
      </x:c>
      <x:c r="D9" s="18" t="s">
        <x:v>68</x:v>
      </x:c>
      <x:c r="E9" s="18">
        <x:v>165</x:v>
      </x:c>
      <x:c r="F9" s="18"/>
      <x:c r="G9" s="18">
        <x:v>20</x:v>
      </x:c>
      <x:c r="H9" s="18"/>
      <x:c r="I9" s="18">
        <x:v>20</x:v>
      </x:c>
      <x:c r="J9" s="18"/>
      <x:c r="K9" s="18">
        <x:v>20</x:v>
      </x:c>
      <x:c r="L9" s="18"/>
      <x:c r="M9" s="18">
        <x:v>20</x:v>
      </x:c>
      <x:c r="N9" s="18"/>
      <x:c r="O9" s="30">
        <x:f t="shared" si="0"/>
        <x:v>0</x:v>
      </x:c>
      <x:c r="P9" s="18"/>
      <x:c r="Q9" s="30">
        <x:f t="shared" si="1"/>
        <x:v>0</x:v>
      </x:c>
      <x:c r="R9" s="30"/>
      <x:c r="S9" s="24" t="s">
        <x:v>75</x:v>
      </x:c>
      <x:c r="T9" s="51"/>
      <x:c r="U9" s="30"/>
      <x:c r="V9" s="24"/>
      <x:c r="W9" s="24"/>
      <x:c r="X9" s="27"/>
    </x:row>
    <x:row r="11">
      <x:c r="A11" s="86" t="s">
        <x:v>76</x:v>
      </x:c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52"/>
      <x:c r="P11" s="53"/>
      <x:c r="Q11" s="53"/>
      <x:c r="R11" s="31" t="n">
        <x:f>IFERROR(AVERAGEIF(D3:D9,"Завершен",R3:R9),0)</x:f>
        <x:v>1.55</x:v>
      </x:c>
      <x:c r="S11" s="96" t="n">
        <x:f>IFERROR(AVERAGEIF(D3:D9,"Завершен",S3:S9),0)</x:f>
        <x:v>0</x:v>
      </x:c>
      <x:c r="T11" s="97" t="n">
        <x:f>IFERROR(AVERAGEIF(D3:D9,"Завершен",T3:T9),0)</x:f>
        <x:v>0</x:v>
      </x:c>
      <x:c r="U11" s="32" t="n">
        <x:f>IFERROR(AVERAGEIF(D3:D9,"Завершен",U3:U9),0)</x:f>
        <x:v>0</x:v>
      </x:c>
      <x:c r="V11" s="98" t="s">
        <x:v>77</x:v>
      </x:c>
      <x:c r="W11" s="98"/>
      <x:c r="X11" s="99"/>
    </x:row>
  </x:sheetData>
  <x:mergeCells>
    <x:mergeCell ref="A1:T1"/>
    <x:mergeCell ref="A11:N11"/>
    <x:mergeCell ref="S11:T11"/>
    <x:mergeCell ref="V11:X11"/>
  </x:mergeCells>
  <x:conditionalFormatting sqref="D3:D9">
    <x:cfRule type="expression" dxfId="4" priority="6">
      <x:formula>D3="Завершен"</x:formula>
    </x:cfRule>
    <x:cfRule type="expression" dxfId="3" priority="7">
      <x:formula>D3="В процессе"</x:formula>
    </x:cfRule>
    <x:cfRule type="expression" dxfId="2" priority="8">
      <x:formula>D3="Перенесен"</x:formula>
    </x:cfRule>
  </x:conditionalFormatting>
  <x:conditionalFormatting sqref="O3:O9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Q3:Q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R3:R9">
    <x:cfRule type="colorScale" priority="9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T3:T9">
    <x:cfRule type="colorScale" priority="10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U3:U9">
    <x:cfRule type="dataBar" priority="11">
      <x:dataBar>
        <x:cfvo type="min"/>
        <x:cfvo type="max"/>
        <x:color rgb="FFA02B93"/>
      </x:dataBar>
    </x:cfRule>
    <x:cfRule type="dataBar" priority="1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{322931FF-63B5-A449-42DF-5EFB6E03DCC2}</x14:id>
        </x:ext>
      </x:extLst>
    </x:cfRule>
  </x:conditionalFormatting>
  <x:dataValidations count="3">
    <x:dataValidation type="list" sqref="D3:D9">
      <x:formula1>"Не начат,В процессе,Завершен,Перенесен"</x:formula1>
    </x:dataValidation>
    <x:dataValidation type="list" sqref="P3:P9 S3:S9">
      <x:formula1>"0,1,2,3"</x:formula1>
    </x:dataValidation>
    <x:dataValidation type="decimal" sqref="R3:R9 U3:U9">
      <x:formula1>0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2" id="{322931FF-63B5-A449-42DF-5EFB6E03DCC2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U3:U9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2" width="24" customWidth="1"/>
    <x:col min="3" max="3" width="20" customWidth="1"/>
    <x:col min="4" max="4" width="15" customWidth="1"/>
    <x:col min="5" max="5" width="16" customWidth="1"/>
    <x:col min="6" max="6" width="17" customWidth="1"/>
    <x:col min="7" max="8" width="14" customWidth="1"/>
    <x:col min="9" max="10" width="28" customWidth="1"/>
    <x:col min="11" max="11" width="14" customWidth="1"/>
    <x:col min="12" max="12" width="30" customWidth="1"/>
    <x:col min="13" max="13" width="14" customWidth="1"/>
    <x:col min="14" max="14" width="30" customWidth="1"/>
  </x:cols>
  <x:sheetData>
    <x:row r="1" ht="23">
      <x:c r="A1" s="84" t="s">
        <x:v>78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</x:row>
    <x:row r="2">
      <x:c r="A2" s="100" t="s">
        <x:v>79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</x:row>
    <x:row r="4" ht="48">
      <x:c r="A4" s="12" t="s">
        <x:v>80</x:v>
      </x:c>
      <x:c r="B4" s="12" t="s">
        <x:v>81</x:v>
      </x:c>
      <x:c r="C4" s="12" t="s">
        <x:v>82</x:v>
      </x:c>
      <x:c r="D4" s="12" t="s">
        <x:v>83</x:v>
      </x:c>
      <x:c r="E4" s="12" t="s">
        <x:v>84</x:v>
      </x:c>
      <x:c r="F4" s="12" t="s">
        <x:v>85</x:v>
      </x:c>
      <x:c r="G4" s="12" t="s">
        <x:v>86</x:v>
      </x:c>
      <x:c r="H4" s="12" t="s">
        <x:v>87</x:v>
      </x:c>
      <x:c r="I4" s="12" t="s">
        <x:v>88</x:v>
      </x:c>
      <x:c r="J4" s="12" t="s">
        <x:v>89</x:v>
      </x:c>
      <x:c r="K4" s="12" t="s">
        <x:v>90</x:v>
      </x:c>
      <x:c r="L4" s="12" t="s">
        <x:v>91</x:v>
      </x:c>
      <x:c r="M4" s="12" t="s">
        <x:v>92</x:v>
      </x:c>
      <x:c r="N4" s="12" t="s">
        <x:v>93</x:v>
      </x:c>
    </x:row>
    <x:row r="5" ht="114.75" customHeight="1">
      <x:c r="A5" s="42" t="s">
        <x:v>94</x:v>
      </x:c>
      <x:c r="B5" s="22" t="s">
        <x:v>95</x:v>
      </x:c>
      <x:c r="C5" s="22" t="s">
        <x:v>96</x:v>
      </x:c>
      <x:c r="D5" s="22">
        <x:v>1</x:v>
      </x:c>
      <x:c r="E5" s="22">
        <x:v>25</x:v>
      </x:c>
      <x:c r="F5" s="22">
        <x:v>0.8</x:v>
      </x:c>
      <x:c r="G5" s="22">
        <x:v>0.7</x:v>
      </x:c>
      <x:c r="H5" s="22" t="s">
        <x:v>97</x:v>
      </x:c>
      <x:c r="I5" s="23" t="s">
        <x:v>98</x:v>
      </x:c>
      <x:c r="J5" s="23" t="s">
        <x:v>99</x:v>
      </x:c>
      <x:c r="K5" s="23" t="s">
        <x:v>100</x:v>
      </x:c>
      <x:c r="L5" s="23" t="s">
        <x:v>101</x:v>
      </x:c>
      <x:c r="M5" s="45">
        <x:v>46293</x:v>
      </x:c>
      <x:c r="N5" s="23" t="s">
        <x:v>102</x:v>
      </x:c>
    </x:row>
    <x:row r="6" ht="114.75" customHeight="1">
      <x:c r="A6" s="43" t="s">
        <x:v>94</x:v>
      </x:c>
      <x:c r="B6" s="23" t="s">
        <x:v>103</x:v>
      </x:c>
      <x:c r="C6" s="23" t="s">
        <x:v>104</x:v>
      </x:c>
      <x:c r="D6" s="23">
        <x:v>1</x:v>
      </x:c>
      <x:c r="E6" s="23">
        <x:v>10</x:v>
      </x:c>
      <x:c r="F6" s="23">
        <x:v>0.4</x:v>
      </x:c>
      <x:c r="G6" s="23">
        <x:v>0.7</x:v>
      </x:c>
      <x:c r="H6" s="23" t="s">
        <x:v>97</x:v>
      </x:c>
      <x:c r="I6" s="23" t="s">
        <x:v>105</x:v>
      </x:c>
      <x:c r="J6" s="23" t="s">
        <x:v>106</x:v>
      </x:c>
      <x:c r="K6" s="23" t="s">
        <x:v>100</x:v>
      </x:c>
      <x:c r="L6" s="23" t="s">
        <x:v>107</x:v>
      </x:c>
      <x:c r="M6" s="45">
        <x:v>46293</x:v>
      </x:c>
      <x:c r="N6" s="23" t="s">
        <x:v>108</x:v>
      </x:c>
    </x:row>
    <x:row r="7" ht="114.75" customHeight="1">
      <x:c r="A7" s="43" t="s">
        <x:v>94</x:v>
      </x:c>
      <x:c r="B7" s="23" t="s">
        <x:v>109</x:v>
      </x:c>
      <x:c r="C7" s="23" t="s">
        <x:v>110</x:v>
      </x:c>
      <x:c r="D7" s="23">
        <x:v>1</x:v>
      </x:c>
      <x:c r="E7" s="23">
        <x:v>20</x:v>
      </x:c>
      <x:c r="F7" s="23">
        <x:v>0.8</x:v>
      </x:c>
      <x:c r="G7" s="23">
        <x:v>0.8</x:v>
      </x:c>
      <x:c r="H7" s="23" t="s">
        <x:v>97</x:v>
      </x:c>
      <x:c r="I7" s="23" t="s">
        <x:v>111</x:v>
      </x:c>
      <x:c r="J7" s="23" t="s">
        <x:v>112</x:v>
      </x:c>
      <x:c r="K7" s="23" t="s">
        <x:v>100</x:v>
      </x:c>
      <x:c r="L7" s="23" t="s">
        <x:v>113</x:v>
      </x:c>
      <x:c r="M7" s="45">
        <x:v>46293</x:v>
      </x:c>
      <x:c r="N7" s="23" t="s">
        <x:v>114</x:v>
      </x:c>
    </x:row>
    <x:row r="8" ht="114.75" customHeight="1">
      <x:c r="A8" s="43" t="s">
        <x:v>94</x:v>
      </x:c>
      <x:c r="B8" s="23" t="s">
        <x:v>115</x:v>
      </x:c>
      <x:c r="C8" s="23" t="s">
        <x:v>116</x:v>
      </x:c>
      <x:c r="D8" s="23">
        <x:v>1</x:v>
      </x:c>
      <x:c r="E8" s="23">
        <x:v>15</x:v>
      </x:c>
      <x:c r="F8" s="23">
        <x:v>0.5</x:v>
      </x:c>
      <x:c r="G8" s="23">
        <x:v>0.4</x:v>
      </x:c>
      <x:c r="H8" s="23" t="s">
        <x:v>97</x:v>
      </x:c>
      <x:c r="I8" s="23" t="s">
        <x:v>117</x:v>
      </x:c>
      <x:c r="J8" s="23" t="s">
        <x:v>118</x:v>
      </x:c>
      <x:c r="K8" s="23" t="s">
        <x:v>100</x:v>
      </x:c>
      <x:c r="L8" s="23" t="s">
        <x:v>119</x:v>
      </x:c>
      <x:c r="M8" s="45">
        <x:v>46293</x:v>
      </x:c>
      <x:c r="N8" s="23" t="s">
        <x:v>120</x:v>
      </x:c>
    </x:row>
    <x:row r="9" ht="114.75" customHeight="1">
      <x:c r="A9" s="43" t="s">
        <x:v>94</x:v>
      </x:c>
      <x:c r="B9" s="23" t="s">
        <x:v>121</x:v>
      </x:c>
      <x:c r="C9" s="23" t="s">
        <x:v>122</x:v>
      </x:c>
      <x:c r="D9" s="23">
        <x:v>1</x:v>
      </x:c>
      <x:c r="E9" s="23">
        <x:v>18</x:v>
      </x:c>
      <x:c r="F9" s="23">
        <x:v>0.7</x:v>
      </x:c>
      <x:c r="G9" s="23">
        <x:v>0.5</x:v>
      </x:c>
      <x:c r="H9" s="23" t="s">
        <x:v>97</x:v>
      </x:c>
      <x:c r="I9" s="23" t="s">
        <x:v>123</x:v>
      </x:c>
      <x:c r="J9" s="23" t="s">
        <x:v>124</x:v>
      </x:c>
      <x:c r="K9" s="23" t="s">
        <x:v>100</x:v>
      </x:c>
      <x:c r="L9" s="23" t="s">
        <x:v>125</x:v>
      </x:c>
      <x:c r="M9" s="45">
        <x:v>46293</x:v>
      </x:c>
      <x:c r="N9" s="23" t="s">
        <x:v>126</x:v>
      </x:c>
    </x:row>
    <x:row r="10" ht="114.75" customHeight="1">
      <x:c r="A10" s="43" t="s">
        <x:v>94</x:v>
      </x:c>
      <x:c r="B10" s="23" t="s">
        <x:v>127</x:v>
      </x:c>
      <x:c r="C10" s="23" t="s">
        <x:v>128</x:v>
      </x:c>
      <x:c r="D10" s="23">
        <x:v>1</x:v>
      </x:c>
      <x:c r="E10" s="23">
        <x:v>17</x:v>
      </x:c>
      <x:c r="F10" s="23">
        <x:v>0.5</x:v>
      </x:c>
      <x:c r="G10" s="23">
        <x:v>0.6</x:v>
      </x:c>
      <x:c r="H10" s="23" t="s">
        <x:v>97</x:v>
      </x:c>
      <x:c r="I10" s="23" t="s">
        <x:v>129</x:v>
      </x:c>
      <x:c r="J10" s="23" t="s">
        <x:v>130</x:v>
      </x:c>
      <x:c r="K10" s="23" t="s">
        <x:v>131</x:v>
      </x:c>
      <x:c r="L10" s="23" t="s">
        <x:v>132</x:v>
      </x:c>
      <x:c r="M10" s="45">
        <x:v>46293</x:v>
      </x:c>
      <x:c r="N10" s="23" t="s">
        <x:v>133</x:v>
      </x:c>
    </x:row>
    <x:row r="11" ht="88" customHeight="1">
      <x:c r="A11" s="43" t="s">
        <x:v>134</x:v>
      </x:c>
      <x:c r="B11" s="23" t="s">
        <x:v>135</x:v>
      </x:c>
      <x:c r="C11" s="23" t="str">
        <x:v>Exam 02 · A1–A8/B1–B2/C1/D1</x:v>
      </x:c>
      <x:c r="D11" s="23" t="n">
        <x:v>2</x:v>
      </x:c>
      <x:c r="E11" s="23" t="n">
        <x:v>54</x:v>
      </x:c>
      <x:c r="F11" s="23" t="n">
        <x:v>1.5</x:v>
      </x:c>
      <x:c r="G11" s="23" t="n">
        <x:v>1.5</x:v>
      </x:c>
      <x:c r="H11" s="23" t="str">
        <x:v>Нет</x:v>
      </x:c>
      <x:c r="I11" s="171" t="str">
        <x:v>Базовые типы и функции узнаются, но точный синтаксис и работа со структурами данных нестабильны; практический код D1 не запускается.</x:v>
      </x:c>
      <x:c r="J11" s="171" t="str">
        <x:v>Есть риск считать понятую логику достаточной заменой корректному синтаксису и API стандартных структур.</x:v>
      </x:c>
      <x:c r="K11" s="171" t="str">
        <x:v>Высокий</x:v>
      </x:c>
      <x:c r="L11" s="171" t="str">
        <x:v>A2–A6/A8 верны; B2 хороший; D1: верная идея filter+unique, но tuple вместо set, append вместо add и неверный доступ к dict.</x:v>
      </x:c>
      <x:c r="M11" s="184" t="n">
        <x:v>46294</x:v>
      </x:c>
      <x:c r="N11" s="171" t="str">
        <x:v>Нужно много коротких упражнений без подсказок: list/dict/set, loops, conditions, functions, comprehensions.</x:v>
      </x:c>
    </x:row>
    <x:row r="12" ht="88" customHeight="1">
      <x:c r="A12" s="43" t="s">
        <x:v>134</x:v>
      </x:c>
      <x:c r="B12" s="23" t="s">
        <x:v>136</x:v>
      </x:c>
      <x:c r="C12" s="23" t="str">
        <x:v>Exam 02 · A5–A7/B3/C1/E4</x:v>
      </x:c>
      <x:c r="D12" s="23" t="n">
        <x:v>2</x:v>
      </x:c>
      <x:c r="E12" s="23" t="n">
        <x:v>52</x:v>
      </x:c>
      <x:c r="F12" s="23" t="n">
        <x:v>1.6</x:v>
      </x:c>
      <x:c r="G12" s="23" t="n">
        <x:v>1.3</x:v>
      </x:c>
      <x:c r="H12" s="23" t="str">
        <x:v>Нет</x:v>
      </x:c>
      <x:c r="I12" s="171" t="str">
        <x:v>Построчная обработка больших файлов понятна; исключения и управление ресурсами используются скорее интуитивно, чем как рабочий шаблон.</x:v>
      </x:c>
      <x:c r="J12" s="171" t="str">
        <x:v>with/context manager и exception boundaries не воспроизводятся; логирование пока воспринимается как необязательная надстройка.</x:v>
      </x:c>
      <x:c r="K12" s="171" t="str">
        <x:v>Высокий</x:v>
      </x:c>
      <x:c r="L12" s="171" t="str">
        <x:v>B3 — правильно про streaming; C1 — хорошая декомпозиция parsing, но нет exception/logging design; A7 не распознан.</x:v>
      </x:c>
      <x:c r="M12" s="184" t="n">
        <x:v>46294</x:v>
      </x:c>
      <x:c r="N12" s="171" t="str">
        <x:v>Закрепить with open, try/except/finally, logging, pathlib, csv/json и разбиение скрипта на функции.</x:v>
      </x:c>
    </x:row>
    <x:row r="13" ht="88" customHeight="1">
      <x:c r="A13" s="43" t="s">
        <x:v>134</x:v>
      </x:c>
      <x:c r="B13" s="23" t="s">
        <x:v>137</x:v>
      </x:c>
      <x:c r="C13" s="23" t="str">
        <x:v>Exam 02 · A9–A11/B4–B5/D2/E6</x:v>
      </x:c>
      <x:c r="D13" s="23" t="n">
        <x:v>2</x:v>
      </x:c>
      <x:c r="E13" s="23" t="n">
        <x:v>57</x:v>
      </x:c>
      <x:c r="F13" s="23" t="n">
        <x:v>1.7</x:v>
      </x:c>
      <x:c r="G13" s="23" t="n">
        <x:v>1.4</x:v>
      </x:c>
      <x:c r="H13" s="23" t="str">
        <x:v>Нет</x:v>
      </x:c>
      <x:c r="I13" s="171" t="str">
        <x:v>Pipe, redirection и exit codes в целом понимаются, но команды воспроизводятся неточно; нет уверенного tee/wc и различия &gt; против &gt;&gt;.</x:v>
      </x:c>
      <x:c r="J13" s="171" t="str">
        <x:v>stdout ошибочно связывается только с успешным выполнением; shell pipeline пока строится методом приблизительного воспоминания.</x:v>
      </x:c>
      <x:c r="K13" s="171" t="str">
        <x:v>Высокий</x:v>
      </x:c>
      <x:c r="L13" s="171" t="str">
        <x:v>A9/A10 верны; B4/B5 в основном правильны; D2 фильтрует ERROR и пишет файл, но не считает строки одновременно.</x:v>
      </x:c>
      <x:c r="M13" s="184" t="n">
        <x:v>46294</x:v>
      </x:c>
      <x:c r="N13" s="171" t="str">
        <x:v>Практиковать grep, awk, sed basics, tee, wc, redirects, $? и безопасные shell scripts.</x:v>
      </x:c>
    </x:row>
    <x:row r="14" ht="88" customHeight="1">
      <x:c r="A14" s="43" t="s">
        <x:v>134</x:v>
      </x:c>
      <x:c r="B14" s="23" t="s">
        <x:v>138</x:v>
      </x:c>
      <x:c r="C14" s="23" t="str">
        <x:v>Exam 02 · A12–A14/B6–B7/C3/D3/E7</x:v>
      </x:c>
      <x:c r="D14" s="23" t="n">
        <x:v>3</x:v>
      </x:c>
      <x:c r="E14" s="23" t="n">
        <x:v>74</x:v>
      </x:c>
      <x:c r="F14" s="23" t="n">
        <x:v>2.4</x:v>
      </x:c>
      <x:c r="G14" s="23" t="n">
        <x:v>2.1</x:v>
      </x:c>
      <x:c r="H14" s="23" t="str">
        <x:v>Да</x:v>
      </x:c>
      <x:c r="I14" s="171" t="str">
        <x:v>Git-модель рабочая: staging, commit, branches, PR/review и merge понимаются; команды воспроизводятся в основном верно.</x:v>
      </x:c>
      <x:c r="J14" s="171" t="str">
        <x:v>Неустойчивы commit/push syntax, upstream и действия после merge/conflict; git add описывается чуть неточно.</x:v>
      </x:c>
      <x:c r="K14" s="171" t="str">
        <x:v>Средний</x:v>
      </x:c>
      <x:c r="L14" s="171" t="str">
        <x:v>Все Git-тесты верны; B6/B7 и C3 сильные; D3 почти строит workflow, но забыты git status, -m и push -u origin branch.</x:v>
      </x:c>
      <x:c r="M14" s="184" t="n">
        <x:v>46294</x:v>
      </x:c>
      <x:c r="N14" s="171" t="str">
        <x:v>Не переучивать Git с нуля: закреплять реальными репозиториями, feature branches, conflicts, revert/reset/rebase позже.</x:v>
      </x:c>
    </x:row>
    <x:row r="15" ht="88" customHeight="1">
      <x:c r="A15" s="43" t="s">
        <x:v>134</x:v>
      </x:c>
      <x:c r="B15" s="23" t="s">
        <x:v>139</x:v>
      </x:c>
      <x:c r="C15" s="23" t="str">
        <x:v>Exam 02 · A17–A19/B9/C4/D4/E3</x:v>
      </x:c>
      <x:c r="D15" s="23" t="n">
        <x:v>1</x:v>
      </x:c>
      <x:c r="E15" s="23" t="n">
        <x:v>36</x:v>
      </x:c>
      <x:c r="F15" s="23" t="n">
        <x:v>1</x:v>
      </x:c>
      <x:c r="G15" s="23" t="n">
        <x:v>1</x:v>
      </x:c>
      <x:c r="H15" s="23" t="str">
        <x:v>Нет</x:v>
      </x:c>
      <x:c r="I15" s="171" t="str">
        <x:v>Базовые SELECT/WHERE/COUNT/GROUP BY узнаются, но полноценный агрегирующий запрос самостоятельно пока не строится.</x:v>
      </x:c>
      <x:c r="J15" s="171" t="str">
        <x:v>Нет рабочей модели WHERE vs HAVING; отсутствуют уверенные GROUP BY, ORDER BY, date filtering, constraints и UPSERT.</x:v>
      </x:c>
      <x:c r="K15" s="171" t="str">
        <x:v>Критический</x:v>
      </x:c>
      <x:c r="L15" s="171" t="str">
        <x:v>SQL-тесты верны; B9 частично; D4 содержит только SELECT/WHERE и идею COUNT, но без GROUP BY/HAVING/ORDER BY.</x:v>
      </x:c>
      <x:c r="M15" s="184" t="n">
        <x:v>46294</x:v>
      </x:c>
      <x:c r="N15" s="171" t="str">
        <x:v>SQL нужно проходить практически: SELECT→JOIN→GROUP BY/HAVING→subqueries→constraints→transactions/upsert.</x:v>
      </x:c>
    </x:row>
    <x:row r="16" ht="90" customHeight="1">
      <x:c r="A16" s="43" t="s">
        <x:v>63</x:v>
      </x:c>
      <x:c r="B16" s="23" t="str">
        <x:v>Users, groups, permissions, sudo</x:v>
      </x:c>
      <x:c r="C16" s="23" t="str">
        <x:v>Exam 03 · A1–A5/B1–B3/C2/D1</x:v>
      </x:c>
      <x:c r="D16" s="23" t="n">
        <x:v>1</x:v>
      </x:c>
      <x:c r="E16" s="23" t="n">
        <x:v>48</x:v>
      </x:c>
      <x:c r="F16" s="23" t="n">
        <x:v>1.4</x:v>
      </x:c>
      <x:c r="G16" s="23" t="n">
        <x:v>1.4</x:v>
      </x:c>
      <x:c r="H16" s="23" t="str">
        <x:v>Нет</x:v>
      </x:c>
      <x:c r="I16" s="171" t="str">
        <x:v>UID/root/chmod/chown/sudo узнаются, но интерпретация rwx и каталогов нестабильна; числовые права в практике выбраны неверно.</x:v>
      </x:c>
      <x:c r="J16" s="171" t="str">
        <x:v>x ошибочно трактуется как право передавать права; не различается смысл x для файла и каталога.</x:v>
      </x:c>
      <x:c r="K16" s="171" t="str">
        <x:v>Высокий</x:v>
      </x:c>
      <x:c r="L16" s="171" t="str">
        <x:v>A1–A5 верны; B2 по сути верен; D1 знает mkdir/chown/chmod, но итоговые права 740 неверны — нужны права класса 770.</x:v>
      </x:c>
      <x:c r="M16" s="184" t="n">
        <x:v>46295</x:v>
      </x:c>
      <x:c r="N16" s="171" t="str">
        <x:v>Начинать с реальной VM: users/groups, chmod numeric/symbolic, chown, directory permissions, sudo.</x:v>
      </x:c>
    </x:row>
    <x:row r="17" ht="90" customHeight="1">
      <x:c r="A17" s="43" t="s">
        <x:v>63</x:v>
      </x:c>
      <x:c r="B17" s="23" t="str">
        <x:v>Processes, signals, lifecycle</x:v>
      </x:c>
      <x:c r="C17" s="23" t="str">
        <x:v>Exam 03 · A6–A8/B5–B6/C1</x:v>
      </x:c>
      <x:c r="D17" s="23" t="n">
        <x:v>1</x:v>
      </x:c>
      <x:c r="E17" s="23" t="n">
        <x:v>31</x:v>
      </x:c>
      <x:c r="F17" s="23" t="n">
        <x:v>0.9</x:v>
      </x:c>
      <x:c r="G17" s="23" t="n">
        <x:v>0.9</x:v>
      </x:c>
      <x:c r="H17" s="23" t="str">
        <x:v>Нет</x:v>
      </x:c>
      <x:c r="I17" s="171" t="str">
        <x:v>PID и базовые состояния процессов узнаются, но signals, graceful termination, fork/exec и lifecycle почти не воспроизводятся.</x:v>
      </x:c>
      <x:c r="J17" s="171" t="str">
        <x:v>kill PID ошибочно ассоциирован с SIGKILL; не понимается разница SIGTERM/SIGKILL.</x:v>
      </x:c>
      <x:c r="K17" s="171" t="str">
        <x:v>Критический</x:v>
      </x:c>
      <x:c r="L17" s="171" t="str">
        <x:v>A6 верен; A7 неверен; A8 не отвечен; B5 частичен; C1 знает PID/env/rights, но не shell→fork/exec/descriptors.</x:v>
      </x:c>
      <x:c r="M17" s="184" t="n">
        <x:v>46295</x:v>
      </x:c>
      <x:c r="N17" s="171" t="str">
        <x:v>Нужно собрать цельную модель process lifecycle и закрепить ps/top/kill/pkill/signals на практике.</x:v>
      </x:c>
    </x:row>
    <x:row r="18" ht="90" customHeight="1">
      <x:c r="A18" s="43" t="s">
        <x:v>63</x:v>
      </x:c>
      <x:c r="B18" s="23" t="str">
        <x:v>systemd, services, journal</x:v>
      </x:c>
      <x:c r="C18" s="23" t="str">
        <x:v>Exam 03 · A9–A10/A15/B4/C3/D2/E4</x:v>
      </x:c>
      <x:c r="D18" s="23" t="n">
        <x:v>1</x:v>
      </x:c>
      <x:c r="E18" s="23" t="n">
        <x:v>38</x:v>
      </x:c>
      <x:c r="F18" s="23" t="n">
        <x:v>1.1</x:v>
      </x:c>
      <x:c r="G18" s="23" t="n">
        <x:v>1</x:v>
      </x:c>
      <x:c r="H18" s="23" t="str">
        <x:v>Нет</x:v>
      </x:c>
      <x:c r="I18" s="171" t="str">
        <x:v>status и journal узнаются, но enable/unit/dependencies/restart policy и диагностика failed unit отсутствуют.</x:v>
      </x:c>
      <x:c r="J18" s="171" t="str">
        <x:v>Service/unit воспринимается как некий контейнер и автоматически считается автозапускаемым после reboot.</x:v>
      </x:c>
      <x:c r="K18" s="171" t="str">
        <x:v>Критический</x:v>
      </x:c>
      <x:c r="L18" s="171" t="str">
        <x:v>A9/A15 верны; A10 не отвечен; C3 знает start/stop/restart/logs/exit code; E4 фактически не выполнен.</x:v>
      </x:c>
      <x:c r="M18" s="184" t="n">
        <x:v>46295</x:v>
      </x:c>
      <x:c r="N18" s="171" t="str">
        <x:v>Практика: написать собственный unit, enable/start/restart, сломать ExecStart, читать journalctl -u и exit status.</x:v>
      </x:c>
    </x:row>
    <x:row r="19" ht="90" customHeight="1">
      <x:c r="A19" s="43" t="s">
        <x:v>63</x:v>
      </x:c>
      <x:c r="B19" s="23" t="str">
        <x:v>Filesystems, disks, mount, inode</x:v>
      </x:c>
      <x:c r="C19" s="23" t="str">
        <x:v>Exam 03 · A11–A14/B7–B8/C4/D3/E2</x:v>
      </x:c>
      <x:c r="D19" s="23" t="n">
        <x:v>1.5</x:v>
      </x:c>
      <x:c r="E19" s="23" t="n">
        <x:v>22</x:v>
      </x:c>
      <x:c r="F19" s="23" t="n">
        <x:v>0.7</x:v>
      </x:c>
      <x:c r="G19" s="23" t="n">
        <x:v>0.7</x:v>
      </x:c>
      <x:c r="H19" s="23" t="str">
        <x:v>Нет</x:v>
      </x:c>
      <x:c r="I19" s="171" t="str">
        <x:v>Mount point понимается, но partition, fstab, df/du, inode и причины ENOSPC почти не воспроизводятся.</x:v>
      </x:c>
      <x:c r="J19" s="171" t="str">
        <x:v>inode ошибочно связывается с областью памяти процесса; open-deleted-file феномен частично смешан с inode exhaustion.</x:v>
      </x:c>
      <x:c r="K19" s="171" t="str">
        <x:v>Критический</x:v>
      </x:c>
      <x:c r="L19" s="171" t="str">
        <x:v>A12 верен; A11/A13/A14 не отвечены; B7 частичный; D3 почти пустой; C4 содержит отдельную правильную интуицию про открытый удаленный файл.</x:v>
      </x:c>
      <x:c r="M19" s="184" t="n">
        <x:v>46295</x:v>
      </x:c>
      <x:c r="N19" s="171" t="str">
        <x:v>Storage надо учить почти с базы: lsblk, blkid, mount, fstab, df -h/-i, du, lsof +L1, inode.</x:v>
      </x:c>
    </x:row>
    <x:row r="20" ht="90" customHeight="1">
      <x:c r="A20" s="43" t="str">
        <x:v>Linux &amp; Systems</x:v>
      </x:c>
      <x:c r="B20" s="23" t="str">
        <x:v>Logs and system troubleshooting</x:v>
      </x:c>
      <x:c r="C20" s="23" t="str">
        <x:v>Exam 03 · B9/E3/E7</x:v>
      </x:c>
      <x:c r="D20" s="23" t="n">
        <x:v>1</x:v>
      </x:c>
      <x:c r="E20" s="23" t="n">
        <x:v>39</x:v>
      </x:c>
      <x:c r="F20" s="23" t="n">
        <x:v>1.1</x:v>
      </x:c>
      <x:c r="G20" s="23" t="n">
        <x:v>1.2</x:v>
      </x:c>
      <x:c r="H20" s="23" t="str">
        <x:v>Нет</x:v>
      </x:c>
      <x:c r="I20" s="171" t="str">
        <x:v>Есть здоровая интуиция 'сначала измерить, потом менять', но набор Linux-инструментов для диагностики пока бедный.</x:v>
      </x:c>
      <x:c r="J20" s="171" t="str">
        <x:v>Есть склонность предлагать ресурсное масштабирование до подтверждения первопричины.</x:v>
      </x:c>
      <x:c r="K20" s="171" t="str">
        <x:v>Высокий</x:v>
      </x:c>
      <x:c r="L20" s="171" t="str">
        <x:v>B9 строит последовательность проверки SSH; E3 вспоминает top; E7 правильно предупреждает против случайных kill/rm.</x:v>
      </x:c>
      <x:c r="M20" s="184" t="n">
        <x:v>46295</x:v>
      </x:c>
      <x:c r="N20" s="171" t="str">
        <x:v>Нужен системный troubleshooting checklist: CPU/RAM/disk/process/network/logs с командами и интерпретацией.</x:v>
      </x:c>
    </x:row>
    <x:row r="21" ht="90" customHeight="1">
      <x:c r="A21" s="43" t="str">
        <x:v>Linux &amp; Systems</x:v>
      </x:c>
      <x:c r="B21" s="23" t="str">
        <x:v>SSH and key-based authentication</x:v>
      </x:c>
      <x:c r="C21" s="23" t="str">
        <x:v>Exam 03 · A16–A17/B9/D4</x:v>
      </x:c>
      <x:c r="D21" s="23" t="n">
        <x:v>2</x:v>
      </x:c>
      <x:c r="E21" s="23" t="n">
        <x:v>56</x:v>
      </x:c>
      <x:c r="F21" s="23" t="n">
        <x:v>1.7</x:v>
      </x:c>
      <x:c r="G21" s="23" t="n">
        <x:v>1.6</x:v>
      </x:c>
      <x:c r="H21" s="23" t="str">
        <x:v>Неясно</x:v>
      </x:c>
      <x:c r="I21" s="171" t="str">
        <x:v>Public-key authentication и authorized_keys узнаются; диагностика SSH логически построена, но права/ownership и клиентская сторона слабы.</x:v>
      </x:c>
      <x:c r="J21" s="171" t="str">
        <x:v>Ключи описываются как то, что можно 'insert/update'; не различены private key клиента и authorized public key сервера.</x:v>
      </x:c>
      <x:c r="K21" s="171" t="str">
        <x:v>Высокий</x:v>
      </x:c>
      <x:c r="L21" s="171" t="str">
        <x:v>A16/A17 верны; B9 хороший порядок; D4 знает authorized_keys/sshd config/logs, но не воспроизводит ssh-keygen, permissions и ssh -v.</x:v>
      </x:c>
      <x:c r="M21" s="184" t="n">
        <x:v>46295</x:v>
      </x:c>
      <x:c r="N21" s="171" t="str">
        <x:v>SSH может быстро стать сильной зоной через lab: keygen, authorized_keys, chmod 700/600, sshd_config, ssh -vvv, journal.</x:v>
      </x:c>
    </x:row>
    <x:row r="22" ht="90" customHeight="1">
      <x:c r="A22" s="43" t="str">
        <x:v>Linux &amp; Systems</x:v>
      </x:c>
      <x:c r="B22" s="23" t="str">
        <x:v>Networking, sockets, listeners</x:v>
      </x:c>
      <x:c r="C22" s="23" t="str">
        <x:v>Exam 03 · A18–A20/B10/D2/E1/E5</x:v>
      </x:c>
      <x:c r="D22" s="23" t="n">
        <x:v>1</x:v>
      </x:c>
      <x:c r="E22" s="23" t="n">
        <x:v>51</x:v>
      </x:c>
      <x:c r="F22" s="23" t="n">
        <x:v>1.5</x:v>
      </x:c>
      <x:c r="G22" s="23" t="n">
        <x:v>1.5</x:v>
      </x:c>
      <x:c r="H22" s="23" t="str">
        <x:v>Неясно</x:v>
      </x:c>
      <x:c r="I22" s="171" t="str">
        <x:v>ip addr и базовая логика listener/firewall понимаются; умеет отличать локальный listener от внешней доступности.</x:v>
      </x:c>
      <x:c r="J22" s="171" t="str">
        <x:v>Неустойчивы ss flags и load average; в B10 частично потеряно различие ICMP reachability и closed TCP port.</x:v>
      </x:c>
      <x:c r="K22" s="171" t="str">
        <x:v>Высокий</x:v>
      </x:c>
      <x:c r="L22" s="171" t="str">
        <x:v>A18/A20 верны; D2 использует ss -tuln | grep 8080; E5 хорошо различает process/listener/firewall.</x:v>
      </x:c>
      <x:c r="M22" s="184" t="n">
        <x:v>46295</x:v>
      </x:c>
      <x:c r="N22" s="171" t="str">
        <x:v>Закрепить ip, ss, ping, curl/nc, routing, bind addresses, firewall и troubleshooting по слоям.</x:v>
      </x:c>
    </x:row>
    <x:row r="23" ht="92" customHeight="1">
      <x:c r="A23" s="43" t="s">
        <x:v>140</x:v>
      </x:c>
      <x:c r="B23" s="23" t="str">
        <x:v>TCP/IP, Ethernet, ARP and packet flow</x:v>
      </x:c>
      <x:c r="C23" s="23" t="str">
        <x:v>Exam 04 · A1–A5/B1–B3/C1/C4</x:v>
      </x:c>
      <x:c r="D23" s="23" t="n">
        <x:v>2</x:v>
      </x:c>
      <x:c r="E23" s="23" t="n">
        <x:v>67</x:v>
      </x:c>
      <x:c r="F23" s="23" t="n">
        <x:v>2.1</x:v>
      </x:c>
      <x:c r="G23" s="23" t="n">
        <x:v>1.9</x:v>
      </x:c>
      <x:c r="H23" s="23" t="str">
        <x:v>Неясно</x:v>
      </x:c>
      <x:c r="I23" s="171" t="str">
        <x:v>База TCP/IP/ARP/default gateway хорошая, но при routing hop путается, какие поля реально меняются: IP обычно сохраняются, MAC меняются hop-by-hop.</x:v>
      </x:c>
      <x:c r="J23" s="171" t="str">
        <x:v>Есть риск считать, что маршрутизатор 'заменяет source/destination IP и потом возвращает обратно' даже без NAT.</x:v>
      </x:c>
      <x:c r="K23" s="171" t="str">
        <x:v>Высокий</x:v>
      </x:c>
      <x:c r="L23" s="171" t="str">
        <x:v>Все A1–A5 верны; B1/B2 в целом верны; C1 содержит правильные gateway/MAC-table/TTL, но неверную модель изменения IP.</x:v>
      </x:c>
      <x:c r="M23" s="184" t="n">
        <x:v>46296</x:v>
      </x:c>
      <x:c r="N23" s="171" t="str">
        <x:v>Углубить packet walk руками и в Wireshark: same subnet vs remote subnet, ARP, Ethernet rewrite, TTL.</x:v>
      </x:c>
    </x:row>
    <x:row r="24" ht="36" customHeight="1">
      <x:c r="A24" s="853" t="str">
        <x:v>Windows</x:v>
      </x:c>
      <x:c r="B24" s="854" t="str">
        <x:v>Windows Server administration</x:v>
      </x:c>
      <x:c r="C24" s="854" t="str"/>
      <x:c r="D24" s="854" t="str"/>
      <x:c r="E24" s="854" t="str"/>
      <x:c r="F24" s="854" t="str"/>
      <x:c r="G24" s="854" t="str"/>
      <x:c r="H24" s="854" t="str"/>
      <x:c r="I24" s="854" t="str"/>
      <x:c r="J24" s="854" t="str"/>
      <x:c r="K24" s="854" t="str"/>
      <x:c r="L24" s="854" t="str"/>
      <x:c r="M24" s="855" t="str"/>
      <x:c r="N24" s="856" t="str"/>
    </x:row>
    <x:row r="25" ht="36" customHeight="1">
      <x:c r="A25" s="857" t="str">
        <x:v>Windows</x:v>
      </x:c>
      <x:c r="B25" s="545" t="str">
        <x:v>Active Directory / LDAP / Kerberos basics</x:v>
      </x:c>
      <x:c r="C25" s="545" t="str"/>
      <x:c r="D25" s="545" t="str"/>
      <x:c r="E25" s="545" t="str"/>
      <x:c r="F25" s="545" t="str"/>
      <x:c r="G25" s="545" t="str"/>
      <x:c r="H25" s="545" t="str"/>
      <x:c r="I25" s="545" t="str"/>
      <x:c r="J25" s="545" t="str"/>
      <x:c r="K25" s="545" t="str"/>
      <x:c r="L25" s="545" t="str"/>
      <x:c r="M25" s="544" t="str"/>
      <x:c r="N25" s="858" t="str"/>
    </x:row>
    <x:row r="26" ht="36" customHeight="1">
      <x:c r="A26" s="859" t="str">
        <x:v>Windows</x:v>
      </x:c>
      <x:c r="B26" s="860" t="str">
        <x:v>GPO, DNS, PowerShell</x:v>
      </x:c>
      <x:c r="C26" s="860" t="str"/>
      <x:c r="D26" s="860" t="str"/>
      <x:c r="E26" s="860" t="str"/>
      <x:c r="F26" s="860" t="str"/>
      <x:c r="G26" s="860" t="str"/>
      <x:c r="H26" s="860" t="str"/>
      <x:c r="I26" s="860" t="str"/>
      <x:c r="J26" s="860" t="str"/>
      <x:c r="K26" s="860" t="str"/>
      <x:c r="L26" s="860" t="str"/>
      <x:c r="M26" s="861" t="str"/>
      <x:c r="N26" s="862" t="str"/>
    </x:row>
    <x:row r="27" ht="48" customHeight="1">
      <x:c r="A27" s="43" t="s">
        <x:v>141</x:v>
      </x:c>
      <x:c r="B27" s="23" t="s">
        <x:v>142</x:v>
      </x:c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45"/>
      <x:c r="N27" s="26"/>
    </x:row>
    <x:row r="28" ht="48" customHeight="1">
      <x:c r="A28" s="43" t="s">
        <x:v>141</x:v>
      </x:c>
      <x:c r="B28" s="23" t="s">
        <x:v>143</x:v>
      </x:c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45"/>
      <x:c r="N28" s="26"/>
    </x:row>
    <x:row r="29" ht="48" customHeight="1">
      <x:c r="A29" s="43" t="s">
        <x:v>141</x:v>
      </x:c>
      <x:c r="B29" s="23" t="s">
        <x:v>144</x:v>
      </x:c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45"/>
      <x:c r="N29" s="26"/>
    </x:row>
    <x:row r="30" ht="48" customHeight="1">
      <x:c r="A30" s="43" t="s">
        <x:v>141</x:v>
      </x:c>
      <x:c r="B30" s="23" t="s">
        <x:v>145</x:v>
      </x:c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45"/>
      <x:c r="N30" s="26"/>
    </x:row>
    <x:row r="31" ht="48" customHeight="1">
      <x:c r="A31" s="43" t="s">
        <x:v>141</x:v>
      </x:c>
      <x:c r="B31" s="23" t="s">
        <x:v>146</x:v>
      </x:c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45"/>
      <x:c r="N31" s="26"/>
    </x:row>
    <x:row r="32" ht="48" customHeight="1">
      <x:c r="A32" s="43" t="s">
        <x:v>141</x:v>
      </x:c>
      <x:c r="B32" s="23" t="s">
        <x:v>147</x:v>
      </x:c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45"/>
      <x:c r="N32" s="26"/>
    </x:row>
    <x:row r="33" ht="48" customHeight="1">
      <x:c r="A33" s="43" t="s">
        <x:v>141</x:v>
      </x:c>
      <x:c r="B33" s="23" t="s">
        <x:v>148</x:v>
      </x:c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45"/>
      <x:c r="N33" s="26"/>
    </x:row>
    <x:row r="34" ht="48" customHeight="1">
      <x:c r="A34" s="44" t="s">
        <x:v>149</x:v>
      </x:c>
      <x:c r="B34" s="24" t="s">
        <x:v>150</x:v>
      </x:c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46"/>
      <x:c r="N34" s="27"/>
    </x:row>
    <x:row r="35" ht="92" customHeight="1">
      <x:c r="A35" s="206" t="str">
        <x:v>Programming</x:v>
      </x:c>
      <x:c r="B35" s="207" t="str">
        <x:v>HTTP / REST API</x:v>
      </x:c>
      <x:c r="C35" s="207" t="str">
        <x:v>Exam 02 · A15–A16/B8/C4/E1–E2</x:v>
      </x:c>
      <x:c r="D35" s="207" t="n">
        <x:v>2</x:v>
      </x:c>
      <x:c r="E35" s="207" t="n">
        <x:v>58</x:v>
      </x:c>
      <x:c r="F35" s="207" t="n">
        <x:v>1.8</x:v>
      </x:c>
      <x:c r="G35" s="207" t="n">
        <x:v>1.4</x:v>
      </x:c>
      <x:c r="H35" s="207" t="str">
        <x:v>Неясно</x:v>
      </x:c>
      <x:c r="I35" s="207" t="str">
        <x:v>HTTP request/response и bearer auth понимаются, но pagination, timeout/retry policy, GET parameters и partial failure handling неполны.</x:v>
      </x:c>
      <x:c r="J35" s="207" t="str">
        <x:v>403 назван ошибкой аутентификации; GET body воспринимается как обычное место параметров запроса.</x:v>
      </x:c>
      <x:c r="K35" s="207" t="str">
        <x:v>Высокий</x:v>
      </x:c>
      <x:c r="L35" s="207" t="str">
        <x:v>A15/A16 верны; B8 хороший; C4 и E2 показывают неполную эксплуатационную модель API.</x:v>
      </x:c>
      <x:c r="M35" s="208" t="n">
        <x:v>46294</x:v>
      </x:c>
      <x:c r="N35" s="209" t="str">
        <x:v>Закрепить requests/httpx: query params, headers, JSON, status handling, pagination, timeout, retry/backoff.</x:v>
      </x:c>
    </x:row>
    <x:row r="36" ht="92" customHeight="1">
      <x:c r="A36" s="210" t="str">
        <x:v>Programming</x:v>
      </x:c>
      <x:c r="B36" s="211" t="str">
        <x:v>Архитектура надежной автоматизации</x:v>
      </x:c>
      <x:c r="C36" s="211" t="str">
        <x:v>Exam 02 · A20/B10/C2/E1–E8</x:v>
      </x:c>
      <x:c r="D36" s="211" t="n">
        <x:v>1</x:v>
      </x:c>
      <x:c r="E36" s="211" t="n">
        <x:v>55</x:v>
      </x:c>
      <x:c r="F36" s="211" t="n">
        <x:v>1.7</x:v>
      </x:c>
      <x:c r="G36" s="211" t="n">
        <x:v>1.1</x:v>
      </x:c>
      <x:c r="H36" s="211" t="str">
        <x:v>Неясно</x:v>
      </x:c>
      <x:c r="I36" s="211" t="str">
        <x:v>Хорошо декомпозирует процесс на API→валидация→DB→CSV→логирование→cron, но reliability-механизмы пока поверхностны.</x:v>
      </x:c>
      <x:c r="J36" s="211" t="str">
        <x:v>Idempotency сведена к одинаковому результату; timeout спутан с задержкой/sleep; не хватает atomic write, upsert и осознанной retry policy.</x:v>
      </x:c>
      <x:c r="K36" s="211" t="str">
        <x:v>Высокий</x:v>
      </x:c>
      <x:c r="L36" s="211" t="str">
        <x:v>Инженерный кейс выполнен частично: компоненты и основные классы ошибок названы, но детали устойчивого поведения не проработаны.</x:v>
      </x:c>
      <x:c r="M36" s="212" t="n">
        <x:v>46294</x:v>
      </x:c>
      <x:c r="N36" s="213" t="str">
        <x:v>Практический mini-project: API collector с timeout/retry, validation, UPSERT, atomic CSV, logging и exit codes.</x:v>
      </x:c>
    </x:row>
    <x:row r="37" ht="94" customHeight="1">
      <x:c r="A37" s="714" t="str">
        <x:v>Networks</x:v>
      </x:c>
      <x:c r="B37" s="715" t="str">
        <x:v>Firewall / ACL / stateful filtering</x:v>
      </x:c>
      <x:c r="C37" s="715" t="str">
        <x:v>Exam 04 · A17–A18/B9/C4/D4/E7</x:v>
      </x:c>
      <x:c r="D37" s="715" t="n">
        <x:v>3</x:v>
      </x:c>
      <x:c r="E37" s="715" t="n">
        <x:v>68</x:v>
      </x:c>
      <x:c r="F37" s="715" t="n">
        <x:v>2.2</x:v>
      </x:c>
      <x:c r="G37" s="715" t="n">
        <x:v>2</x:v>
      </x:c>
      <x:c r="H37" s="715" t="str">
        <x:v>Неясно</x:v>
      </x:c>
      <x:c r="I37" s="715" t="str">
        <x:v>ACL order и идея stateful tracking понимаются, но в практике ответный трафик разрешается отдельным зеркальным ACL вместо established/related state.</x:v>
      </x:c>
      <x:c r="J37" s="715" t="str">
        <x:v>Stateful firewall частично используется как stateless ACL; администраторской сети в D4 разрешен только TCP вместо полного доступа.</x:v>
      </x:c>
      <x:c r="K37" s="715" t="str">
        <x:v>Высокий</x:v>
      </x:c>
      <x:c r="L37" s="715" t="str">
        <x:v>A17/A18 верны; B9 базово верен; D4 имеет правильный intent/order, но stateful semantics и admin rule неполны.</x:v>
      </x:c>
      <x:c r="M37" s="716" t="n">
        <x:v>46296</x:v>
      </x:c>
      <x:c r="N37" s="717" t="str">
        <x:v>Практика connection tracking, NEW/ESTABLISHED/RELATED, implicit deny, direction/zones, least privilege.</x:v>
      </x:c>
    </x:row>
    <x:row r="38" ht="94" customHeight="1">
      <x:c r="A38" s="718" t="str">
        <x:v>Networks</x:v>
      </x:c>
      <x:c r="B38" s="545" t="str">
        <x:v>VPN / secure networking</x:v>
      </x:c>
      <x:c r="C38" s="545" t="str">
        <x:v>Exam 04 · A19 + косвенно B7/C4</x:v>
      </x:c>
      <x:c r="D38" s="545" t="n">
        <x:v>3</x:v>
      </x:c>
      <x:c r="E38" s="545" t="n">
        <x:v>60</x:v>
      </x:c>
      <x:c r="F38" s="545" t="n">
        <x:v>2</x:v>
      </x:c>
      <x:c r="G38" s="545" t="n">
        <x:v>2</x:v>
      </x:c>
      <x:c r="H38" s="545" t="str">
        <x:v>Неясно</x:v>
      </x:c>
      <x:c r="I38" s="545" t="str">
        <x:v>Назначение site-to-site VPN понимается, но экзамен почти не проверял криптографию, IKE/IPsec, routing через tunnel и troubleshooting.</x:v>
      </x:c>
      <x:c r="J38" s="545" t="str">
        <x:v>Самооценка 3/5 пока выше объема подтвержденных доказательств.</x:v>
      </x:c>
      <x:c r="K38" s="545" t="str">
        <x:v>Высокий</x:v>
      </x:c>
      <x:c r="L38" s="545" t="str">
        <x:v>A19 верен; глубоких практических заданий по VPN в Exam 04 не было.</x:v>
      </x:c>
      <x:c r="M38" s="544" t="n">
        <x:v>46296</x:v>
      </x:c>
      <x:c r="N38" s="719" t="str">
        <x:v>Не считать VPN подтвержденной сильной стороной до отдельной практики IPsec/IKE/tunnel routing.</x:v>
      </x:c>
    </x:row>
    <x:row r="39" ht="94" customHeight="1">
      <x:c r="A39" s="720" t="str">
        <x:v>Networks</x:v>
      </x:c>
      <x:c r="B39" s="721" t="str">
        <x:v>Network troubleshooting</x:v>
      </x:c>
      <x:c r="C39" s="721" t="str">
        <x:v>Exam 04 · A20/B10/E1–E8</x:v>
      </x:c>
      <x:c r="D39" s="721" t="n">
        <x:v>2</x:v>
      </x:c>
      <x:c r="E39" s="721" t="n">
        <x:v>70</x:v>
      </x:c>
      <x:c r="F39" s="721" t="n">
        <x:v>2.3</x:v>
      </x:c>
      <x:c r="G39" s="721" t="n">
        <x:v>1.8</x:v>
      </x:c>
      <x:c r="H39" s="721" t="str">
        <x:v>Да</x:v>
      </x:c>
      <x:c r="I39" s="721" t="str">
        <x:v>Layered troubleshooting и осторожность перед изменениями сформированы хорошо; умеет отделять DNS, firewall, listener и path.</x:v>
      </x:c>
      <x:c r="J39" s="721" t="str">
        <x:v>В сложной L2/L3 redundancy диагностике гипотезы быстро смешиваются: LAG, VRRP, MAC flap и routing причинно связываются без доказательства.</x:v>
      </x:c>
      <x:c r="K39" s="721" t="str">
        <x:v>Высокий</x:v>
      </x:c>
      <x:c r="L39" s="721" t="str">
        <x:v>B10 сильный; E3/E7/E8 логически полезны; E1/E4/E6 показывают нехватку точной модели отказоустойчивой сети.</x:v>
      </x:c>
      <x:c r="M39" s="722" t="n">
        <x:v>46296</x:v>
      </x:c>
      <x:c r="N39" s="723" t="str">
        <x:v>Практика 'broken network labs': сначала evidence, затем hypothesis; MAC/STP/LACP/FHRP/firewall по отдельным слоям.</x:v>
      </x:c>
    </x:row>
    <x:row r="40" ht="94" customHeight="1">
      <x:c r="A40" s="853" t="str">
        <x:v>Networks</x:v>
      </x:c>
      <x:c r="B40" s="854" t="str">
        <x:v>Switching, VLAN, STP, LAG/LACP</x:v>
      </x:c>
      <x:c r="C40" s="854" t="str">
        <x:v>Exam 04 · A6–A9/B3–B5/C2–C3/D2/E3–E5</x:v>
      </x:c>
      <x:c r="D40" s="854" t="n">
        <x:v>3</x:v>
      </x:c>
      <x:c r="E40" s="854" t="n">
        <x:v>70</x:v>
      </x:c>
      <x:c r="F40" s="854" t="n">
        <x:v>2.3</x:v>
      </x:c>
      <x:c r="G40" s="854" t="n">
        <x:v>2.1</x:v>
      </x:c>
      <x:c r="H40" s="854" t="str">
        <x:v>Да</x:v>
      </x:c>
      <x:c r="I40" s="854" t="str">
        <x:v>Access/trunk, 802.1Q, STP и базовая идея LAG понятны. Слабее root bridge, native VLAN и точное разделение LACP/MLAG/VRRP.</x:v>
      </x:c>
      <x:c r="J40" s="854" t="str">
        <x:v>LACP/LAG, multi-chassis redundancy и VRRP местами смешиваются как единый механизм выбора master/peer.</x:v>
      </x:c>
      <x:c r="K40" s="854" t="str">
        <x:v>Высокий</x:v>
      </x:c>
      <x:c r="L40" s="854" t="str">
        <x:v>A6–A9 все верны; B4/B5 хорошие; D2 логически верен; C3 и E4/E6 показывают смешение ролей технологий.</x:v>
      </x:c>
      <x:c r="M40" s="855" t="n">
        <x:v>46296</x:v>
      </x:c>
      <x:c r="N40" s="856" t="str">
        <x:v>Отдельно разложить STP, LACP, MLAG/stacking и VRRP по уровням, объектам отказа и control-plane.</x:v>
      </x:c>
    </x:row>
    <x:row r="41" ht="94" customHeight="1">
      <x:c r="A41" s="857" t="str">
        <x:v>Networks</x:v>
      </x:c>
      <x:c r="B41" s="545" t="str">
        <x:v>Routing, subnetting, inter-VLAN, VRRP</x:v>
      </x:c>
      <x:c r="C41" s="545" t="str">
        <x:v>Exam 04 · A10–A13/B2/B6/C1–C3/D1/D3/E6</x:v>
      </x:c>
      <x:c r="D41" s="545" t="n">
        <x:v>2</x:v>
      </x:c>
      <x:c r="E41" s="545" t="n">
        <x:v>82</x:v>
      </x:c>
      <x:c r="F41" s="545" t="n">
        <x:v>2.7</x:v>
      </x:c>
      <x:c r="G41" s="545" t="n">
        <x:v>2.1</x:v>
      </x:c>
      <x:c r="H41" s="545" t="str">
        <x:v>Да</x:v>
      </x:c>
      <x:c r="I41" s="545" t="str">
        <x:v>Subnetting и longest-prefix routing выполнены уверенно; default gateway понимается. Inter-VLAN/SVI/VRRP требуют углубления.</x:v>
      </x:c>
      <x:c r="J41" s="545" t="str">
        <x:v>Inter-VLAN routing местами назван 'взаимодействием внутри VLAN'; VRRP ошибочно связывается с LAG и более низким priority.</x:v>
      </x:c>
      <x:c r="K41" s="545" t="str">
        <x:v>Средний</x:v>
      </x:c>
      <x:c r="L41" s="545" t="str">
        <x:v>D1 полностью верен; D3 все next-hop верны; C2 хорошо объясняет segmentation, но путает inter-vlan; C3 содержит ошибки по VRRP.</x:v>
      </x:c>
      <x:c r="M41" s="544" t="n">
        <x:v>46296</x:v>
      </x:c>
      <x:c r="N41" s="858" t="str">
        <x:v>Сохранить subnetting/routing практикой; отдельно SVI, routed interfaces, FHRP/VRRP и route selection.</x:v>
      </x:c>
    </x:row>
    <x:row r="42" ht="94" customHeight="1">
      <x:c r="A42" s="859" t="str">
        <x:v>Networks</x:v>
      </x:c>
      <x:c r="B42" s="860" t="str">
        <x:v>DNS, DHCP, NAT/PAT</x:v>
      </x:c>
      <x:c r="C42" s="860" t="str">
        <x:v>Exam 04 · A14–A16/B7–B8/C4</x:v>
      </x:c>
      <x:c r="D42" s="860" t="n">
        <x:v>3</x:v>
      </x:c>
      <x:c r="E42" s="860" t="n">
        <x:v>81</x:v>
      </x:c>
      <x:c r="F42" s="860" t="n">
        <x:v>2.6</x:v>
      </x:c>
      <x:c r="G42" s="860" t="n">
        <x:v>2.3</x:v>
      </x:c>
      <x:c r="H42" s="860" t="str">
        <x:v>Да</x:v>
      </x:c>
      <x:c r="I42" s="860" t="str">
        <x:v>DNS, DHCP и NAT/PAT хорошо понимаются на прикладном уровне; есть правильная модель нехватки IPv4 и end-to-end ограничений NAT.</x:v>
      </x:c>
      <x:c r="J42" s="860" t="str">
        <x:v>DNS чрезмерно описан как двустороннее преобразование IP↔name; DNAT и DHCP options раскрыты неполно.</x:v>
      </x:c>
      <x:c r="K42" s="860" t="str">
        <x:v>Средний</x:v>
      </x:c>
      <x:c r="L42" s="860" t="str">
        <x:v>A14–A16 верны; B7/B8 сильные; C4 уверенно включает DNS и NAT в путь HTTPS.</x:v>
      </x:c>
      <x:c r="M42" s="861" t="n">
        <x:v>46296</x:v>
      </x:c>
      <x:c r="N42" s="862" t="str">
        <x:v>Закрепить DHCP DORA/options, DNS records/recursive resolution и SNAT/PAT/DNAT на лаборатории.</x:v>
      </x:c>
    </x:row>
  </x:sheetData>
  <x:mergeCells>
    <x:mergeCell ref="A1:N1"/>
    <x:mergeCell ref="A2:N2"/>
  </x:mergeCells>
  <x:conditionalFormatting sqref="E5:E34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5:F34">
    <x:cfRule type="dataBar" priority="2">
      <x:dataBar>
        <x:cfvo type="min"/>
        <x:cfvo type="max"/>
        <x:color rgb="FF0F9ED5"/>
      </x:dataBar>
    </x:cfRule>
    <x:cfRule type="dataBar" priority="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{0E55E1C4-0B3A-D9FE-A00E-E6CC1D3382BB}</x14:id>
        </x:ext>
      </x:extLst>
    </x:cfRule>
  </x:conditionalFormatting>
  <x:conditionalFormatting sqref="K5:K34">
    <x:cfRule type="expression" dxfId="1" priority="3">
      <x:formula>K5="Критический"</x:formula>
    </x:cfRule>
    <x:cfRule type="expression" dxfId="0" priority="4">
      <x:formula>K5="Высокий"</x:formula>
    </x:cfRule>
  </x:conditionalFormatting>
  <x:conditionalFormatting sqref="E35:E36">
    <x:cfRule type="colorScale" priority="6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5:F36">
    <x:cfRule type="dataBar" priority="7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{6040478C-C9AD-83E4-94C8-99B047F2FC01}</x14:id>
        </x:ext>
      </x:extLst>
    </x:cfRule>
  </x:conditionalFormatting>
  <x:conditionalFormatting sqref="K35:K36">
    <x:cfRule type="expression" dxfId="5" priority="8">
      <x:formula>K35="Критический"</x:formula>
    </x:cfRule>
    <x:cfRule type="expression" dxfId="6" priority="9">
      <x:formula>K35="Высокий"</x:formula>
    </x:cfRule>
  </x:conditionalFormatting>
  <x:conditionalFormatting sqref="E37:E39">
    <x:cfRule type="colorScale" priority="10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7:F39">
    <x:cfRule type="dataBar" priority="1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{1AFC7B1F-C312-1001-C64E-1D5602C99ED4}</x14:id>
        </x:ext>
      </x:extLst>
    </x:cfRule>
  </x:conditionalFormatting>
  <x:conditionalFormatting sqref="K37:K39">
    <x:cfRule type="expression" dxfId="12" priority="12">
      <x:formula>K37="Критический"</x:formula>
    </x:cfRule>
    <x:cfRule type="expression" dxfId="13" priority="13">
      <x:formula>K37="Высокий"</x:formula>
    </x:cfRule>
  </x:conditionalFormatting>
  <x:conditionalFormatting sqref="E40:E42">
    <x:cfRule type="colorScale" priority="1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40:F42">
    <x:cfRule type="dataBar" priority="1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{7277D9AD-C3BC-DFB4-0703-127BDE96DC60}</x14:id>
        </x:ext>
      </x:extLst>
    </x:cfRule>
  </x:conditionalFormatting>
  <x:conditionalFormatting sqref="K40:K42">
    <x:cfRule type="expression" dxfId="16" priority="16">
      <x:formula>K40="Высокий"</x:formula>
    </x:cfRule>
    <x:cfRule type="expression" dxfId="17" priority="17">
      <x:formula>K40="Средний"</x:formula>
    </x:cfRule>
  </x:conditionalFormatting>
  <x:dataValidations count="19">
    <x:dataValidation type="decimal" sqref="D5:D34 F5:F34">
      <x:formula1>0</x:formula1>
      <x:formula2>5</x:formula2>
    </x:dataValidation>
    <x:dataValidation type="list" sqref="G5:G34">
      <x:formula1>"0,1,2,3"</x:formula1>
    </x:dataValidation>
    <x:dataValidation type="list" sqref="H5:H34">
      <x:formula1>"Да,Нет,Неясно"</x:formula1>
    </x:dataValidation>
    <x:dataValidation type="list" sqref="K5:K34">
      <x:formula1>"Критический,Высокий,Средний,Низкий,Пока не нужен"</x:formula1>
    </x:dataValidation>
    <x:dataValidation type="decimal" operator="between" sqref="D35:D36">
      <x:formula1>0</x:formula1>
      <x:formula2>5</x:formula2>
    </x:dataValidation>
    <x:dataValidation type="decimal" operator="between" sqref="F35:F36">
      <x:formula1>0</x:formula1>
      <x:formula2>5</x:formula2>
    </x:dataValidation>
    <x:dataValidation type="list" sqref="G35:G36">
      <x:formula1>"0,1,2,3"</x:formula1>
    </x:dataValidation>
    <x:dataValidation type="list" sqref="H35:H36">
      <x:formula1>"Да,Нет,Неясно"</x:formula1>
    </x:dataValidation>
    <x:dataValidation type="list" sqref="K35:K36">
      <x:formula1>"Критический,Высокий,Средний,Низкий,Пока не нужен"</x:formula1>
    </x:dataValidation>
    <x:dataValidation type="decimal" operator="between" sqref="D37:D39">
      <x:formula1>0</x:formula1>
      <x:formula2>5</x:formula2>
    </x:dataValidation>
    <x:dataValidation type="decimal" operator="between" sqref="F37:F39">
      <x:formula1>0</x:formula1>
      <x:formula2>5</x:formula2>
    </x:dataValidation>
    <x:dataValidation type="list" sqref="G37:G39">
      <x:formula1>"0,1,2,3"</x:formula1>
    </x:dataValidation>
    <x:dataValidation type="list" sqref="H37:H39">
      <x:formula1>"Да,Нет,Неясно"</x:formula1>
    </x:dataValidation>
    <x:dataValidation type="list" sqref="K37:K39">
      <x:formula1>"Критический,Высокий,Средний,Низкий,Пока не нужен"</x:formula1>
    </x:dataValidation>
    <x:dataValidation type="decimal" operator="between" sqref="D40:D42">
      <x:formula1>0</x:formula1>
      <x:formula2>5</x:formula2>
    </x:dataValidation>
    <x:dataValidation type="decimal" operator="between" sqref="F40:F42">
      <x:formula1>0</x:formula1>
      <x:formula2>5</x:formula2>
    </x:dataValidation>
    <x:dataValidation type="list" sqref="G40:G42">
      <x:formula1>"0,1,2,3"</x:formula1>
    </x:dataValidation>
    <x:dataValidation type="list" sqref="H40:H42">
      <x:formula1>"Да,Нет,Неясно"</x:formula1>
    </x:dataValidation>
    <x:dataValidation type="list" sqref="K40:K42">
      <x:formula1>"Критический,Высокий,Средний,Низкий,Пока не нужен"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0E55E1C4-0B3A-D9FE-A00E-E6CC1D3382BB}">
            <x14:dataBar>
              <x14:cfvo type="min"/>
              <x14:cfvo type="max"/>
              <x14:fillColor rgb="FF0F9ED5"/>
              <x14:negativeFillColor auto="1"/>
              <x14:axisColor auto="1"/>
            </x14:dataBar>
          </x14:cfRule>
          <xm:sqref>F5:F34</xm:sqref>
        </x14:conditionalFormatting>
        <x14:conditionalFormatting>
          <x14:cfRule type="dataBar" priority="7" id="{6040478C-C9AD-83E4-94C8-99B047F2FC01}">
            <x14:dataBar gradient="1">
              <x14:cfvo type="min"/>
              <x14:cfvo type="max"/>
              <x14:fillColor rgb="FF0F9ED5"/>
            </x14:dataBar>
          </x14:cfRule>
          <xm:sqref>F35:F36</xm:sqref>
        </x14:conditionalFormatting>
        <x14:conditionalFormatting>
          <x14:cfRule type="dataBar" priority="11" id="{1AFC7B1F-C312-1001-C64E-1D5602C99ED4}">
            <x14:dataBar gradient="1">
              <x14:cfvo type="min"/>
              <x14:cfvo type="max"/>
              <x14:fillColor rgb="FF0F9ED5"/>
            </x14:dataBar>
          </x14:cfRule>
          <xm:sqref>F37:F39</xm:sqref>
        </x14:conditionalFormatting>
        <x14:conditionalFormatting>
          <x14:cfRule type="dataBar" priority="15" id="{7277D9AD-C3BC-DFB4-0703-127BDE96DC60}">
            <x14:dataBar gradient="1">
              <x14:cfvo type="min"/>
              <x14:cfvo type="max"/>
              <x14:fillColor rgb="FF0F9ED5"/>
            </x14:dataBar>
          </x14:cfRule>
          <xm:sqref>F40:F42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4" width="15" customWidth="1"/>
    <x:col min="5" max="5" width="22" customWidth="1"/>
    <x:col min="6" max="6" width="12" customWidth="1"/>
    <x:col min="7" max="8" width="10" customWidth="1"/>
    <x:col min="9" max="10" width="30" customWidth="1"/>
  </x:cols>
  <x:sheetData>
    <x:row r="1" ht="23">
      <x:c r="A1" s="84" t="s">
        <x:v>151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100" t="s">
        <x:v>152</x:v>
      </x:c>
      <x:c r="B2" s="100"/>
      <x:c r="C2" s="100"/>
      <x:c r="D2" s="100"/>
      <x:c r="E2" s="100"/>
      <x:c r="F2" s="100"/>
      <x:c r="G2" s="100"/>
      <x:c r="H2" s="100"/>
      <x:c r="I2" s="100"/>
      <x:c r="J2" s="100"/>
    </x:row>
    <x:row r="4" ht="48">
      <x:c r="A4" s="12" t="s">
        <x:v>153</x:v>
      </x:c>
      <x:c r="B4" s="12" t="s">
        <x:v>154</x:v>
      </x:c>
      <x:c r="C4" s="12" t="s">
        <x:v>155</x:v>
      </x:c>
      <x:c r="D4" s="12" t="s">
        <x:v>37</x:v>
      </x:c>
      <x:c r="E4" s="12" t="s">
        <x:v>156</x:v>
      </x:c>
      <x:c r="F4" s="12" t="s">
        <x:v>157</x:v>
      </x:c>
      <x:c r="G4" s="12" t="s">
        <x:v>158</x:v>
      </x:c>
      <x:c r="H4" s="12" t="s">
        <x:v>159</x:v>
      </x:c>
      <x:c r="I4" s="12" t="s">
        <x:v>160</x:v>
      </x:c>
      <x:c r="J4" s="12" t="s">
        <x:v>161</x:v>
      </x:c>
    </x:row>
    <x:row r="5" ht="90.75" customHeight="1">
      <x:c r="A5" s="23" t="s">
        <x:v>162</x:v>
      </x:c>
      <x:c r="B5" s="45">
        <x:v>46251</x:v>
      </x:c>
      <x:c r="C5" s="45">
        <x:v>46293</x:v>
      </x:c>
      <x:c r="D5" s="23" t="s">
        <x:v>3</x:v>
      </x:c>
      <x:c r="E5" s="23" t="s">
        <x:v>7</x:v>
      </x:c>
      <x:c r="F5" s="23"/>
      <x:c r="G5" s="23">
        <x:v>0.8</x:v>
      </x:c>
      <x:c r="H5" s="23"/>
      <x:c r="I5" s="23" t="s">
        <x:v>163</x:v>
      </x:c>
      <x:c r="J5" s="23" t="s">
        <x:v>164</x:v>
      </x:c>
    </x:row>
    <x:row r="6" ht="90.75" customHeight="1">
      <x:c r="A6" s="23" t="s">
        <x:v>165</x:v>
      </x:c>
      <x:c r="B6" s="45">
        <x:v>46251</x:v>
      </x:c>
      <x:c r="C6" s="45">
        <x:v>46293</x:v>
      </x:c>
      <x:c r="D6" s="23" t="s">
        <x:v>3</x:v>
      </x:c>
      <x:c r="E6" s="23" t="s">
        <x:v>7</x:v>
      </x:c>
      <x:c r="F6" s="23"/>
      <x:c r="G6" s="23">
        <x:v>0.4</x:v>
      </x:c>
      <x:c r="H6" s="23"/>
      <x:c r="I6" s="23" t="s">
        <x:v>166</x:v>
      </x:c>
      <x:c r="J6" s="23" t="s">
        <x:v>167</x:v>
      </x:c>
    </x:row>
    <x:row r="7" ht="90.75" customHeight="1">
      <x:c r="A7" s="23" t="s">
        <x:v>168</x:v>
      </x:c>
      <x:c r="B7" s="45">
        <x:v>46251</x:v>
      </x:c>
      <x:c r="C7" s="45">
        <x:v>46293</x:v>
      </x:c>
      <x:c r="D7" s="23" t="s">
        <x:v>3</x:v>
      </x:c>
      <x:c r="E7" s="23" t="s">
        <x:v>169</x:v>
      </x:c>
      <x:c r="F7" s="23"/>
      <x:c r="G7" s="23">
        <x:v>0.8</x:v>
      </x:c>
      <x:c r="H7" s="23"/>
      <x:c r="I7" s="23" t="s">
        <x:v>170</x:v>
      </x:c>
      <x:c r="J7" s="23" t="s">
        <x:v>171</x:v>
      </x:c>
    </x:row>
    <x:row r="8" ht="90.75" customHeight="1">
      <x:c r="A8" s="23" t="s">
        <x:v>172</x:v>
      </x:c>
      <x:c r="B8" s="45">
        <x:v>46251</x:v>
      </x:c>
      <x:c r="C8" s="45">
        <x:v>46293</x:v>
      </x:c>
      <x:c r="D8" s="23" t="s">
        <x:v>3</x:v>
      </x:c>
      <x:c r="E8" s="23" t="s">
        <x:v>173</x:v>
      </x:c>
      <x:c r="F8" s="23"/>
      <x:c r="G8" s="23">
        <x:v>0.5</x:v>
      </x:c>
      <x:c r="H8" s="23"/>
      <x:c r="I8" s="23" t="s">
        <x:v>174</x:v>
      </x:c>
      <x:c r="J8" s="23" t="s">
        <x:v>175</x:v>
      </x:c>
    </x:row>
    <x:row r="9" ht="90.75" customHeight="1">
      <x:c r="A9" s="23" t="s">
        <x:v>176</x:v>
      </x:c>
      <x:c r="B9" s="45">
        <x:v>46251</x:v>
      </x:c>
      <x:c r="C9" s="45">
        <x:v>46293</x:v>
      </x:c>
      <x:c r="D9" s="23" t="s">
        <x:v>3</x:v>
      </x:c>
      <x:c r="E9" s="23" t="s">
        <x:v>169</x:v>
      </x:c>
      <x:c r="F9" s="23"/>
      <x:c r="G9" s="23">
        <x:v>0.7</x:v>
      </x:c>
      <x:c r="H9" s="23"/>
      <x:c r="I9" s="23" t="s">
        <x:v>177</x:v>
      </x:c>
      <x:c r="J9" s="23" t="s">
        <x:v>178</x:v>
      </x:c>
    </x:row>
    <x:row r="10" ht="90.75" customHeight="1">
      <x:c r="A10" s="23" t="s">
        <x:v>179</x:v>
      </x:c>
      <x:c r="B10" s="45">
        <x:v>46251</x:v>
      </x:c>
      <x:c r="C10" s="45">
        <x:v>46293</x:v>
      </x:c>
      <x:c r="D10" s="23" t="s">
        <x:v>3</x:v>
      </x:c>
      <x:c r="E10" s="23" t="s">
        <x:v>169</x:v>
      </x:c>
      <x:c r="F10" s="23"/>
      <x:c r="G10" s="23">
        <x:v>0.5</x:v>
      </x:c>
      <x:c r="H10" s="23"/>
      <x:c r="I10" s="23" t="s">
        <x:v>180</x:v>
      </x:c>
      <x:c r="J10" s="23" t="s">
        <x:v>181</x:v>
      </x:c>
    </x:row>
    <x:row r="11" ht="68" customHeight="1">
      <x:c r="A11" s="206" t="str">
        <x:v>Python syntax &amp; data structures</x:v>
      </x:c>
      <x:c r="B11" s="208" t="n">
        <x:v>46252</x:v>
      </x:c>
      <x:c r="C11" s="208" t="n">
        <x:v>46294</x:v>
      </x:c>
      <x:c r="D11" s="207" t="str">
        <x:v>Запланировано</x:v>
      </x:c>
      <x:c r="E11" s="207" t="str">
        <x:v>Практика</x:v>
      </x:c>
      <x:c r="F11" s="207" t="str"/>
      <x:c r="G11" s="207" t="n">
        <x:v>1.5</x:v>
      </x:c>
      <x:c r="H11" s="207" t="str"/>
      <x:c r="I11" s="207" t="str">
        <x:v>Написать без IDE несколько функций с list/dict/set, loops и conditions.</x:v>
      </x:c>
      <x:c r="J11" s="209" t="str">
        <x:v>Повторная задача на фильтрацию/агрегацию событий.</x:v>
      </x:c>
    </x:row>
    <x:row r="12" ht="68" customHeight="1">
      <x:c r="A12" s="240" t="str">
        <x:v>Python files &amp; exceptions</x:v>
      </x:c>
      <x:c r="B12" s="184" t="n">
        <x:v>46252</x:v>
      </x:c>
      <x:c r="C12" s="184" t="n">
        <x:v>46294</x:v>
      </x:c>
      <x:c r="D12" s="171" t="str">
        <x:v>Запланировано</x:v>
      </x:c>
      <x:c r="E12" s="171" t="str">
        <x:v>Практика</x:v>
      </x:c>
      <x:c r="F12" s="171" t="str"/>
      <x:c r="G12" s="171" t="n">
        <x:v>1.6</x:v>
      </x:c>
      <x:c r="H12" s="171" t="str"/>
      <x:c r="I12" s="171" t="str">
        <x:v>with open, streaming, try/except, logging, csv/json.</x:v>
      </x:c>
      <x:c r="J12" s="241" t="str">
        <x:v>Лог-парсер с обработкой плохих строк.</x:v>
      </x:c>
    </x:row>
    <x:row r="13" ht="68" customHeight="1">
      <x:c r="A13" s="240" t="str">
        <x:v>Bash / shell pipelines</x:v>
      </x:c>
      <x:c r="B13" s="184" t="n">
        <x:v>46252</x:v>
      </x:c>
      <x:c r="C13" s="184" t="n">
        <x:v>46294</x:v>
      </x:c>
      <x:c r="D13" s="171" t="str">
        <x:v>Запланировано</x:v>
      </x:c>
      <x:c r="E13" s="171" t="str">
        <x:v>Практика</x:v>
      </x:c>
      <x:c r="F13" s="171" t="str"/>
      <x:c r="G13" s="171" t="n">
        <x:v>1.7</x:v>
      </x:c>
      <x:c r="H13" s="171" t="str"/>
      <x:c r="I13" s="171" t="str">
        <x:v>Построить pipeline grep/tee/wc, redirects и обработку exit codes.</x:v>
      </x:c>
      <x:c r="J13" s="241" t="str">
        <x:v>Задача на реальный лог без подсказок.</x:v>
      </x:c>
    </x:row>
    <x:row r="14" ht="68" customHeight="1">
      <x:c r="A14" s="240" t="str">
        <x:v>Git workflow</x:v>
      </x:c>
      <x:c r="B14" s="184" t="n">
        <x:v>46252</x:v>
      </x:c>
      <x:c r="C14" s="184" t="n">
        <x:v>46294</x:v>
      </x:c>
      <x:c r="D14" s="171" t="str">
        <x:v>Запланировано</x:v>
      </x:c>
      <x:c r="E14" s="171" t="str">
        <x:v>Практика</x:v>
      </x:c>
      <x:c r="F14" s="171" t="str"/>
      <x:c r="G14" s="171" t="n">
        <x:v>2.4</x:v>
      </x:c>
      <x:c r="H14" s="171" t="str"/>
      <x:c r="I14" s="171" t="str">
        <x:v>Создать feature branch, commit, push upstream, merge conflict и исправление.</x:v>
      </x:c>
      <x:c r="J14" s="241" t="str">
        <x:v>Проверка на реальном mini-project.</x:v>
      </x:c>
    </x:row>
    <x:row r="15" ht="68" customHeight="1">
      <x:c r="A15" s="240" t="str">
        <x:v>SQL aggregation</x:v>
      </x:c>
      <x:c r="B15" s="184" t="n">
        <x:v>46252</x:v>
      </x:c>
      <x:c r="C15" s="184" t="n">
        <x:v>46294</x:v>
      </x:c>
      <x:c r="D15" s="171" t="str">
        <x:v>Запланировано</x:v>
      </x:c>
      <x:c r="E15" s="171" t="str">
        <x:v>Практика</x:v>
      </x:c>
      <x:c r="F15" s="171" t="str"/>
      <x:c r="G15" s="171" t="n">
        <x:v>1</x:v>
      </x:c>
      <x:c r="H15" s="171" t="str"/>
      <x:c r="I15" s="171" t="str">
        <x:v>SELECT/WHERE/GROUP BY/HAVING/ORDER BY + даты.</x:v>
      </x:c>
      <x:c r="J15" s="241" t="str">
        <x:v>Новый запрос агрегации по журналу событий.</x:v>
      </x:c>
    </x:row>
    <x:row r="16" ht="68" customHeight="1">
      <x:c r="A16" s="240" t="str">
        <x:v>HTTP / REST API</x:v>
      </x:c>
      <x:c r="B16" s="184" t="n">
        <x:v>46252</x:v>
      </x:c>
      <x:c r="C16" s="184" t="n">
        <x:v>46294</x:v>
      </x:c>
      <x:c r="D16" s="171" t="str">
        <x:v>Запланировано</x:v>
      </x:c>
      <x:c r="E16" s="171" t="str">
        <x:v>Инженерный кейс</x:v>
      </x:c>
      <x:c r="F16" s="171" t="str"/>
      <x:c r="G16" s="171" t="n">
        <x:v>1.8</x:v>
      </x:c>
      <x:c r="H16" s="171" t="str"/>
      <x:c r="I16" s="171" t="str">
        <x:v>Request structure, query params, pagination, timeout, retry/backoff, status codes.</x:v>
      </x:c>
      <x:c r="J16" s="241" t="str">
        <x:v>Мини-клиент к mock API.</x:v>
      </x:c>
    </x:row>
    <x:row r="17" ht="68" customHeight="1">
      <x:c r="A17" s="210" t="str">
        <x:v>Reliable automation architecture</x:v>
      </x:c>
      <x:c r="B17" s="212" t="n">
        <x:v>46252</x:v>
      </x:c>
      <x:c r="C17" s="212" t="n">
        <x:v>46294</x:v>
      </x:c>
      <x:c r="D17" s="211" t="str">
        <x:v>Запланировано</x:v>
      </x:c>
      <x:c r="E17" s="211" t="str">
        <x:v>Инженерный кейс</x:v>
      </x:c>
      <x:c r="F17" s="211" t="str"/>
      <x:c r="G17" s="211" t="n">
        <x:v>1.7</x:v>
      </x:c>
      <x:c r="H17" s="211" t="str"/>
      <x:c r="I17" s="211" t="str">
        <x:v>Idempotency, atomic write, UPSERT, logging, exit codes, partial failure.</x:v>
      </x:c>
      <x:c r="J17" s="213" t="str">
        <x:v>Повторить collector case полностью.</x:v>
      </x:c>
    </x:row>
    <x:row r="18" ht="68" customHeight="1">
      <x:c r="A18" s="539" t="str">
        <x:v>Linux permissions &amp; sudo</x:v>
      </x:c>
      <x:c r="B18" s="540" t="n">
        <x:v>46253</x:v>
      </x:c>
      <x:c r="C18" s="540" t="n">
        <x:v>46295</x:v>
      </x:c>
      <x:c r="D18" s="541" t="str">
        <x:v>Запланировано</x:v>
      </x:c>
      <x:c r="E18" s="541" t="str">
        <x:v>Практика</x:v>
      </x:c>
      <x:c r="F18" s="541" t="str"/>
      <x:c r="G18" s="541" t="n">
        <x:v>1.4</x:v>
      </x:c>
      <x:c r="H18" s="541" t="str"/>
      <x:c r="I18" s="541" t="str">
        <x:v>rwx numeric/symbolic, owner/group/other, x on directories, sudo.</x:v>
      </x:c>
      <x:c r="J18" s="542" t="str">
        <x:v>Лаборатория с shared group directory.</x:v>
      </x:c>
    </x:row>
    <x:row r="19" ht="68" customHeight="1">
      <x:c r="A19" s="543" t="str">
        <x:v>Processes &amp; signals</x:v>
      </x:c>
      <x:c r="B19" s="544" t="n">
        <x:v>46253</x:v>
      </x:c>
      <x:c r="C19" s="544" t="n">
        <x:v>46295</x:v>
      </x:c>
      <x:c r="D19" s="545" t="str">
        <x:v>Запланировано</x:v>
      </x:c>
      <x:c r="E19" s="545" t="str">
        <x:v>Практика</x:v>
      </x:c>
      <x:c r="F19" s="545" t="str"/>
      <x:c r="G19" s="545" t="n">
        <x:v>0.9</x:v>
      </x:c>
      <x:c r="H19" s="545" t="str"/>
      <x:c r="I19" s="545" t="str">
        <x:v>PID, states, ps/top, SIGTERM/SIGKILL, fork/exec.</x:v>
      </x:c>
      <x:c r="J19" s="546" t="str">
        <x:v>Запуск/остановка/сигналы на тестовых процессах.</x:v>
      </x:c>
    </x:row>
    <x:row r="20" ht="68" customHeight="1">
      <x:c r="A20" s="543" t="str">
        <x:v>systemd &amp; journal</x:v>
      </x:c>
      <x:c r="B20" s="544" t="n">
        <x:v>46253</x:v>
      </x:c>
      <x:c r="C20" s="544" t="n">
        <x:v>46295</x:v>
      </x:c>
      <x:c r="D20" s="545" t="str">
        <x:v>Запланировано</x:v>
      </x:c>
      <x:c r="E20" s="545" t="str">
        <x:v>Практика</x:v>
      </x:c>
      <x:c r="F20" s="545" t="str"/>
      <x:c r="G20" s="545" t="n">
        <x:v>1.1</x:v>
      </x:c>
      <x:c r="H20" s="545" t="str"/>
      <x:c r="I20" s="545" t="str">
        <x:v>unit, enable, dependencies, exit status, journalctl -u.</x:v>
      </x:c>
      <x:c r="J20" s="546" t="str">
        <x:v>Создать и намеренно сломать test service.</x:v>
      </x:c>
    </x:row>
    <x:row r="21" ht="68" customHeight="1">
      <x:c r="A21" s="543" t="str">
        <x:v>Linux storage &amp; inode</x:v>
      </x:c>
      <x:c r="B21" s="544" t="n">
        <x:v>46253</x:v>
      </x:c>
      <x:c r="C21" s="544" t="n">
        <x:v>46295</x:v>
      </x:c>
      <x:c r="D21" s="545" t="str">
        <x:v>Запланировано</x:v>
      </x:c>
      <x:c r="E21" s="545" t="str">
        <x:v>Инженерный кейс</x:v>
      </x:c>
      <x:c r="F21" s="545" t="str"/>
      <x:c r="G21" s="545" t="n">
        <x:v>0.7</x:v>
      </x:c>
      <x:c r="H21" s="545" t="str"/>
      <x:c r="I21" s="545" t="str">
        <x:v>partition/fs/mount/fstab/df/du/inode/open-deleted files.</x:v>
      </x:c>
      <x:c r="J21" s="546" t="str">
        <x:v>Повторить кейс заполненного /var.</x:v>
      </x:c>
    </x:row>
    <x:row r="22" ht="68" customHeight="1">
      <x:c r="A22" s="543" t="str">
        <x:v>Linux troubleshooting</x:v>
      </x:c>
      <x:c r="B22" s="544" t="n">
        <x:v>46253</x:v>
      </x:c>
      <x:c r="C22" s="544" t="n">
        <x:v>46295</x:v>
      </x:c>
      <x:c r="D22" s="545" t="str">
        <x:v>Запланировано</x:v>
      </x:c>
      <x:c r="E22" s="545" t="str">
        <x:v>Инженерный кейс</x:v>
      </x:c>
      <x:c r="F22" s="545" t="str"/>
      <x:c r="G22" s="545" t="n">
        <x:v>1.1</x:v>
      </x:c>
      <x:c r="H22" s="545" t="str"/>
      <x:c r="I22" s="545" t="str">
        <x:v>CPU/RAM/disk/log/process/network checklist.</x:v>
      </x:c>
      <x:c r="J22" s="546" t="str">
        <x:v>Комплексная поломанная VM.</x:v>
      </x:c>
    </x:row>
    <x:row r="23" ht="68" customHeight="1">
      <x:c r="A23" s="543" t="str">
        <x:v>SSH</x:v>
      </x:c>
      <x:c r="B23" s="544" t="n">
        <x:v>46253</x:v>
      </x:c>
      <x:c r="C23" s="544" t="n">
        <x:v>46295</x:v>
      </x:c>
      <x:c r="D23" s="545" t="str">
        <x:v>Запланировано</x:v>
      </x:c>
      <x:c r="E23" s="545" t="str">
        <x:v>Практика</x:v>
      </x:c>
      <x:c r="F23" s="545" t="str"/>
      <x:c r="G23" s="545" t="n">
        <x:v>1.7</x:v>
      </x:c>
      <x:c r="H23" s="545" t="str"/>
      <x:c r="I23" s="545" t="str">
        <x:v>Keypair, authorized_keys, chmod/chown, sshd_config, ssh -vvv.</x:v>
      </x:c>
      <x:c r="J23" s="546" t="str">
        <x:v>Сломать несколько причин key auth failure.</x:v>
      </x:c>
    </x:row>
    <x:row r="24" ht="68" customHeight="1">
      <x:c r="A24" s="547" t="str">
        <x:v>Linux networking &amp; sockets</x:v>
      </x:c>
      <x:c r="B24" s="548" t="n">
        <x:v>46253</x:v>
      </x:c>
      <x:c r="C24" s="548" t="n">
        <x:v>46295</x:v>
      </x:c>
      <x:c r="D24" s="549" t="str">
        <x:v>Запланировано</x:v>
      </x:c>
      <x:c r="E24" s="549" t="str">
        <x:v>Практика</x:v>
      </x:c>
      <x:c r="F24" s="549" t="str"/>
      <x:c r="G24" s="549" t="n">
        <x:v>1.5</x:v>
      </x:c>
      <x:c r="H24" s="549" t="str"/>
      <x:c r="I24" s="549" t="str">
        <x:v>ip/ss/ping/curl/nc/bind/firewall.</x:v>
      </x:c>
      <x:c r="J24" s="550" t="str">
        <x:v>Диагностика localhost vs 0.0.0.0 vs firewall.</x:v>
      </x:c>
    </x:row>
    <x:row r="25" ht="70" customHeight="1">
      <x:c r="A25" s="714" t="str">
        <x:v>Packet flow / ARP / Ethernet rewrite</x:v>
      </x:c>
      <x:c r="B25" s="716" t="n">
        <x:v>46254</x:v>
      </x:c>
      <x:c r="C25" s="716" t="n">
        <x:v>46296</x:v>
      </x:c>
      <x:c r="D25" s="715" t="str">
        <x:v>Запланировано</x:v>
      </x:c>
      <x:c r="E25" s="715" t="str">
        <x:v>Практика</x:v>
      </x:c>
      <x:c r="F25" s="715" t="str"/>
      <x:c r="G25" s="715" t="n">
        <x:v>2.1</x:v>
      </x:c>
      <x:c r="H25" s="715" t="str"/>
      <x:c r="I25" s="715" t="str">
        <x:v>Same subnet vs routed path; MAC changes, IP persistence, TTL.</x:v>
      </x:c>
      <x:c r="J25" s="717" t="str">
        <x:v>Packet walk + Wireshark capture.</x:v>
      </x:c>
    </x:row>
    <x:row r="26" ht="70" customHeight="1">
      <x:c r="A26" s="718" t="str">
        <x:v>VLAN / trunk / STP</x:v>
      </x:c>
      <x:c r="B26" s="544" t="n">
        <x:v>46254</x:v>
      </x:c>
      <x:c r="C26" s="544" t="n">
        <x:v>46296</x:v>
      </x:c>
      <x:c r="D26" s="545" t="str">
        <x:v>Запланировано</x:v>
      </x:c>
      <x:c r="E26" s="545" t="str">
        <x:v>Практика</x:v>
      </x:c>
      <x:c r="F26" s="545" t="str"/>
      <x:c r="G26" s="545" t="n">
        <x:v>2.3</x:v>
      </x:c>
      <x:c r="H26" s="545" t="str"/>
      <x:c r="I26" s="545" t="str">
        <x:v>Tagged/untagged/native, allowed VLAN, root bridge, port states.</x:v>
      </x:c>
      <x:c r="J26" s="719" t="str">
        <x:v>Сломанный trunk/STP lab.</x:v>
      </x:c>
    </x:row>
    <x:row r="27" ht="70" customHeight="1">
      <x:c r="A27" s="718" t="str">
        <x:v>LAG/LACP vs MLAG/VRRP</x:v>
      </x:c>
      <x:c r="B27" s="544" t="n">
        <x:v>46254</x:v>
      </x:c>
      <x:c r="C27" s="544" t="n">
        <x:v>46296</x:v>
      </x:c>
      <x:c r="D27" s="545" t="str">
        <x:v>Запланировано</x:v>
      </x:c>
      <x:c r="E27" s="545" t="str">
        <x:v>Инженерный кейс</x:v>
      </x:c>
      <x:c r="F27" s="545" t="str"/>
      <x:c r="G27" s="545" t="n">
        <x:v>2</x:v>
      </x:c>
      <x:c r="H27" s="545" t="str"/>
      <x:c r="I27" s="545" t="str">
        <x:v>Разделить функции aggregation, multi-chassis и FHRP.</x:v>
      </x:c>
      <x:c r="J27" s="719" t="str">
        <x:v>Кейс с MAC flap и asymmetric LAG.</x:v>
      </x:c>
    </x:row>
    <x:row r="28" ht="70" customHeight="1">
      <x:c r="A28" s="718" t="str">
        <x:v>Routing / subnetting / VRRP</x:v>
      </x:c>
      <x:c r="B28" s="544" t="n">
        <x:v>46254</x:v>
      </x:c>
      <x:c r="C28" s="544" t="n">
        <x:v>46296</x:v>
      </x:c>
      <x:c r="D28" s="545" t="str">
        <x:v>Запланировано</x:v>
      </x:c>
      <x:c r="E28" s="545" t="str">
        <x:v>Практика</x:v>
      </x:c>
      <x:c r="F28" s="545" t="str"/>
      <x:c r="G28" s="545" t="n">
        <x:v>2.7</x:v>
      </x:c>
      <x:c r="H28" s="545" t="str"/>
      <x:c r="I28" s="545" t="str">
        <x:v>Longest prefix, inter-VLAN, SVI, VRRP priority/state.</x:v>
      </x:c>
      <x:c r="J28" s="719" t="str">
        <x:v>Маршрутизация нескольких VLAN.</x:v>
      </x:c>
    </x:row>
    <x:row r="29" ht="70" customHeight="1">
      <x:c r="A29" s="718" t="str">
        <x:v>DNS / DHCP / NAT</x:v>
      </x:c>
      <x:c r="B29" s="544" t="n">
        <x:v>46254</x:v>
      </x:c>
      <x:c r="C29" s="544" t="n">
        <x:v>46296</x:v>
      </x:c>
      <x:c r="D29" s="545" t="str">
        <x:v>Запланировано</x:v>
      </x:c>
      <x:c r="E29" s="545" t="str">
        <x:v>Практика</x:v>
      </x:c>
      <x:c r="F29" s="545" t="str"/>
      <x:c r="G29" s="545" t="n">
        <x:v>2.6</x:v>
      </x:c>
      <x:c r="H29" s="545" t="str"/>
      <x:c r="I29" s="545" t="str">
        <x:v>DHCP options/DORA, DNS resolution, SNAT/PAT/DNAT.</x:v>
      </x:c>
      <x:c r="J29" s="719" t="str">
        <x:v>Мини-лаборатория LAN→Internet.</x:v>
      </x:c>
    </x:row>
    <x:row r="30" ht="70" customHeight="1">
      <x:c r="A30" s="718" t="str">
        <x:v>Stateful firewall / ACL</x:v>
      </x:c>
      <x:c r="B30" s="544" t="n">
        <x:v>46254</x:v>
      </x:c>
      <x:c r="C30" s="544" t="n">
        <x:v>46296</x:v>
      </x:c>
      <x:c r="D30" s="545" t="str">
        <x:v>Запланировано</x:v>
      </x:c>
      <x:c r="E30" s="545" t="str">
        <x:v>Практика</x:v>
      </x:c>
      <x:c r="F30" s="545" t="str"/>
      <x:c r="G30" s="545" t="n">
        <x:v>2.2</x:v>
      </x:c>
      <x:c r="H30" s="545" t="str"/>
      <x:c r="I30" s="545" t="str">
        <x:v>NEW/ESTABLISHED/RELATED, order, zones, implicit deny.</x:v>
      </x:c>
      <x:c r="J30" s="719" t="str">
        <x:v>Повторить D4 без зеркального return ACL.</x:v>
      </x:c>
    </x:row>
    <x:row r="31" ht="70" customHeight="1">
      <x:c r="A31" s="720" t="str">
        <x:v>Network troubleshooting</x:v>
      </x:c>
      <x:c r="B31" s="722" t="n">
        <x:v>46254</x:v>
      </x:c>
      <x:c r="C31" s="722" t="n">
        <x:v>46296</x:v>
      </x:c>
      <x:c r="D31" s="721" t="str">
        <x:v>Запланировано</x:v>
      </x:c>
      <x:c r="E31" s="721" t="str">
        <x:v>Инженерный кейс</x:v>
      </x:c>
      <x:c r="F31" s="721" t="str"/>
      <x:c r="G31" s="721" t="n">
        <x:v>2.3</x:v>
      </x:c>
      <x:c r="H31" s="721" t="str"/>
      <x:c r="I31" s="721" t="str">
        <x:v>Evidence-first troubleshooting across L1-L7.</x:v>
      </x:c>
      <x:c r="J31" s="723" t="str">
        <x:v>Комплексный broken-network lab.</x:v>
      </x:c>
    </x:row>
    <x:row r="32" ht="42.75" customHeight="1">
      <x:c r="A32" s="43"/>
      <x:c r="B32" s="45"/>
      <x:c r="C32" s="45"/>
      <x:c r="D32" s="23"/>
      <x:c r="E32" s="23"/>
      <x:c r="F32" s="23"/>
      <x:c r="G32" s="23"/>
      <x:c r="H32" s="23"/>
      <x:c r="I32" s="23"/>
      <x:c r="J32" s="26"/>
    </x:row>
    <x:row r="33" ht="42.75" customHeight="1">
      <x:c r="A33" s="43"/>
      <x:c r="B33" s="45"/>
      <x:c r="C33" s="45"/>
      <x:c r="D33" s="23"/>
      <x:c r="E33" s="23"/>
      <x:c r="F33" s="23"/>
      <x:c r="G33" s="23"/>
      <x:c r="H33" s="23"/>
      <x:c r="I33" s="23"/>
      <x:c r="J33" s="26"/>
    </x:row>
    <x:row r="34" ht="42.75" customHeight="1">
      <x:c r="A34" s="43"/>
      <x:c r="B34" s="45"/>
      <x:c r="C34" s="45"/>
      <x:c r="D34" s="23"/>
      <x:c r="E34" s="23"/>
      <x:c r="F34" s="23"/>
      <x:c r="G34" s="23"/>
      <x:c r="H34" s="23"/>
      <x:c r="I34" s="23"/>
      <x:c r="J34" s="26"/>
    </x:row>
    <x:row r="35" ht="42.75" customHeight="1">
      <x:c r="A35" s="43"/>
      <x:c r="B35" s="45"/>
      <x:c r="C35" s="45"/>
      <x:c r="D35" s="23"/>
      <x:c r="E35" s="23"/>
      <x:c r="F35" s="23"/>
      <x:c r="G35" s="23"/>
      <x:c r="H35" s="23"/>
      <x:c r="I35" s="23"/>
      <x:c r="J35" s="26"/>
    </x:row>
    <x:row r="36" ht="42.75" customHeight="1">
      <x:c r="A36" s="43"/>
      <x:c r="B36" s="45"/>
      <x:c r="C36" s="45"/>
      <x:c r="D36" s="23"/>
      <x:c r="E36" s="23"/>
      <x:c r="F36" s="23"/>
      <x:c r="G36" s="23"/>
      <x:c r="H36" s="23"/>
      <x:c r="I36" s="23"/>
      <x:c r="J36" s="26"/>
    </x:row>
    <x:row r="37" ht="42.75" customHeight="1">
      <x:c r="A37" s="43"/>
      <x:c r="B37" s="45"/>
      <x:c r="C37" s="45"/>
      <x:c r="D37" s="23"/>
      <x:c r="E37" s="23"/>
      <x:c r="F37" s="23"/>
      <x:c r="G37" s="23"/>
      <x:c r="H37" s="23"/>
      <x:c r="I37" s="23"/>
      <x:c r="J37" s="26"/>
    </x:row>
    <x:row r="38" ht="42.75" customHeight="1">
      <x:c r="A38" s="43"/>
      <x:c r="B38" s="45"/>
      <x:c r="C38" s="45"/>
      <x:c r="D38" s="23"/>
      <x:c r="E38" s="23"/>
      <x:c r="F38" s="23"/>
      <x:c r="G38" s="23"/>
      <x:c r="H38" s="23"/>
      <x:c r="I38" s="23"/>
      <x:c r="J38" s="26"/>
    </x:row>
    <x:row r="39" ht="42.75" customHeight="1">
      <x:c r="A39" s="43"/>
      <x:c r="B39" s="45"/>
      <x:c r="C39" s="45"/>
      <x:c r="D39" s="23"/>
      <x:c r="E39" s="23"/>
      <x:c r="F39" s="23"/>
      <x:c r="G39" s="23"/>
      <x:c r="H39" s="23"/>
      <x:c r="I39" s="23"/>
      <x:c r="J39" s="26"/>
    </x:row>
    <x:row r="40" ht="42.75" customHeight="1">
      <x:c r="A40" s="43"/>
      <x:c r="B40" s="45"/>
      <x:c r="C40" s="45"/>
      <x:c r="D40" s="23"/>
      <x:c r="E40" s="23"/>
      <x:c r="F40" s="23"/>
      <x:c r="G40" s="23"/>
      <x:c r="H40" s="23"/>
      <x:c r="I40" s="23"/>
      <x:c r="J40" s="26"/>
    </x:row>
    <x:row r="41" ht="42.75" customHeight="1">
      <x:c r="A41" s="43"/>
      <x:c r="B41" s="45"/>
      <x:c r="C41" s="45"/>
      <x:c r="D41" s="23"/>
      <x:c r="E41" s="23"/>
      <x:c r="F41" s="23"/>
      <x:c r="G41" s="23"/>
      <x:c r="H41" s="23"/>
      <x:c r="I41" s="23"/>
      <x:c r="J41" s="26"/>
    </x:row>
    <x:row r="42" ht="42.75" customHeight="1">
      <x:c r="A42" s="43"/>
      <x:c r="B42" s="45"/>
      <x:c r="C42" s="45"/>
      <x:c r="D42" s="23"/>
      <x:c r="E42" s="23"/>
      <x:c r="F42" s="23"/>
      <x:c r="G42" s="23"/>
      <x:c r="H42" s="23"/>
      <x:c r="I42" s="23"/>
      <x:c r="J42" s="26"/>
    </x:row>
    <x:row r="43" ht="42.75" customHeight="1">
      <x:c r="A43" s="43"/>
      <x:c r="B43" s="45"/>
      <x:c r="C43" s="45"/>
      <x:c r="D43" s="23"/>
      <x:c r="E43" s="23"/>
      <x:c r="F43" s="23"/>
      <x:c r="G43" s="23"/>
      <x:c r="H43" s="23"/>
      <x:c r="I43" s="23"/>
      <x:c r="J43" s="26"/>
    </x:row>
    <x:row r="44" ht="42.75" customHeight="1">
      <x:c r="A44" s="43"/>
      <x:c r="B44" s="45"/>
      <x:c r="C44" s="45"/>
      <x:c r="D44" s="23"/>
      <x:c r="E44" s="23"/>
      <x:c r="F44" s="23"/>
      <x:c r="G44" s="23"/>
      <x:c r="H44" s="23"/>
      <x:c r="I44" s="23"/>
      <x:c r="J44" s="26"/>
    </x:row>
    <x:row r="45" ht="42.75" customHeight="1">
      <x:c r="A45" s="43"/>
      <x:c r="B45" s="45"/>
      <x:c r="C45" s="45"/>
      <x:c r="D45" s="23"/>
      <x:c r="E45" s="23"/>
      <x:c r="F45" s="23"/>
      <x:c r="G45" s="23"/>
      <x:c r="H45" s="23"/>
      <x:c r="I45" s="23"/>
      <x:c r="J45" s="26"/>
    </x:row>
    <x:row r="46" ht="42.75" customHeight="1">
      <x:c r="A46" s="43"/>
      <x:c r="B46" s="45"/>
      <x:c r="C46" s="45"/>
      <x:c r="D46" s="23"/>
      <x:c r="E46" s="23"/>
      <x:c r="F46" s="23"/>
      <x:c r="G46" s="23"/>
      <x:c r="H46" s="23"/>
      <x:c r="I46" s="23"/>
      <x:c r="J46" s="26"/>
    </x:row>
    <x:row r="47" ht="42.75" customHeight="1">
      <x:c r="A47" s="43"/>
      <x:c r="B47" s="45"/>
      <x:c r="C47" s="45"/>
      <x:c r="D47" s="23"/>
      <x:c r="E47" s="23"/>
      <x:c r="F47" s="23"/>
      <x:c r="G47" s="23"/>
      <x:c r="H47" s="23"/>
      <x:c r="I47" s="23"/>
      <x:c r="J47" s="26"/>
    </x:row>
    <x:row r="48" ht="42.75" customHeight="1">
      <x:c r="A48" s="43"/>
      <x:c r="B48" s="45"/>
      <x:c r="C48" s="45"/>
      <x:c r="D48" s="23"/>
      <x:c r="E48" s="23"/>
      <x:c r="F48" s="23"/>
      <x:c r="G48" s="23"/>
      <x:c r="H48" s="23"/>
      <x:c r="I48" s="23"/>
      <x:c r="J48" s="26"/>
    </x:row>
    <x:row r="49" ht="42.75" customHeight="1">
      <x:c r="A49" s="43"/>
      <x:c r="B49" s="45"/>
      <x:c r="C49" s="45"/>
      <x:c r="D49" s="23"/>
      <x:c r="E49" s="23"/>
      <x:c r="F49" s="23"/>
      <x:c r="G49" s="23"/>
      <x:c r="H49" s="23"/>
      <x:c r="I49" s="23"/>
      <x:c r="J49" s="26"/>
    </x:row>
    <x:row r="50" ht="42.75" customHeight="1">
      <x:c r="A50" s="43"/>
      <x:c r="B50" s="45"/>
      <x:c r="C50" s="45"/>
      <x:c r="D50" s="23"/>
      <x:c r="E50" s="23"/>
      <x:c r="F50" s="23"/>
      <x:c r="G50" s="23"/>
      <x:c r="H50" s="23"/>
      <x:c r="I50" s="23"/>
      <x:c r="J50" s="26"/>
    </x:row>
    <x:row r="51" ht="42.75" customHeight="1">
      <x:c r="A51" s="43"/>
      <x:c r="B51" s="45"/>
      <x:c r="C51" s="45"/>
      <x:c r="D51" s="23"/>
      <x:c r="E51" s="23"/>
      <x:c r="F51" s="23"/>
      <x:c r="G51" s="23"/>
      <x:c r="H51" s="23"/>
      <x:c r="I51" s="23"/>
      <x:c r="J51" s="26"/>
    </x:row>
    <x:row r="52" ht="42.75" customHeight="1">
      <x:c r="A52" s="43"/>
      <x:c r="B52" s="45"/>
      <x:c r="C52" s="45"/>
      <x:c r="D52" s="23"/>
      <x:c r="E52" s="23"/>
      <x:c r="F52" s="23"/>
      <x:c r="G52" s="23"/>
      <x:c r="H52" s="23"/>
      <x:c r="I52" s="23"/>
      <x:c r="J52" s="26"/>
    </x:row>
    <x:row r="53" ht="42.75" customHeight="1">
      <x:c r="A53" s="43"/>
      <x:c r="B53" s="45"/>
      <x:c r="C53" s="45"/>
      <x:c r="D53" s="23"/>
      <x:c r="E53" s="23"/>
      <x:c r="F53" s="23"/>
      <x:c r="G53" s="23"/>
      <x:c r="H53" s="23"/>
      <x:c r="I53" s="23"/>
      <x:c r="J53" s="26"/>
    </x:row>
    <x:row r="54" ht="42.75" customHeight="1">
      <x:c r="A54" s="43"/>
      <x:c r="B54" s="45"/>
      <x:c r="C54" s="45"/>
      <x:c r="D54" s="23"/>
      <x:c r="E54" s="23"/>
      <x:c r="F54" s="23"/>
      <x:c r="G54" s="23"/>
      <x:c r="H54" s="23"/>
      <x:c r="I54" s="23"/>
      <x:c r="J54" s="26"/>
    </x:row>
    <x:row r="55" ht="42.75" customHeight="1">
      <x:c r="A55" s="43"/>
      <x:c r="B55" s="45"/>
      <x:c r="C55" s="45"/>
      <x:c r="D55" s="23"/>
      <x:c r="E55" s="23"/>
      <x:c r="F55" s="23"/>
      <x:c r="G55" s="23"/>
      <x:c r="H55" s="23"/>
      <x:c r="I55" s="23"/>
      <x:c r="J55" s="26"/>
    </x:row>
    <x:row r="56" ht="42.75" customHeight="1">
      <x:c r="A56" s="43"/>
      <x:c r="B56" s="45"/>
      <x:c r="C56" s="45"/>
      <x:c r="D56" s="23"/>
      <x:c r="E56" s="23"/>
      <x:c r="F56" s="23"/>
      <x:c r="G56" s="23"/>
      <x:c r="H56" s="23"/>
      <x:c r="I56" s="23"/>
      <x:c r="J56" s="26"/>
    </x:row>
    <x:row r="57" ht="42.75" customHeight="1">
      <x:c r="A57" s="43"/>
      <x:c r="B57" s="45"/>
      <x:c r="C57" s="45"/>
      <x:c r="D57" s="23"/>
      <x:c r="E57" s="23"/>
      <x:c r="F57" s="23"/>
      <x:c r="G57" s="23"/>
      <x:c r="H57" s="23"/>
      <x:c r="I57" s="23"/>
      <x:c r="J57" s="26"/>
    </x:row>
    <x:row r="58" ht="42.75" customHeight="1">
      <x:c r="A58" s="43"/>
      <x:c r="B58" s="45"/>
      <x:c r="C58" s="45"/>
      <x:c r="D58" s="23"/>
      <x:c r="E58" s="23"/>
      <x:c r="F58" s="23"/>
      <x:c r="G58" s="23"/>
      <x:c r="H58" s="23"/>
      <x:c r="I58" s="23"/>
      <x:c r="J58" s="26"/>
    </x:row>
    <x:row r="59" ht="42.75" customHeight="1">
      <x:c r="A59" s="43"/>
      <x:c r="B59" s="45"/>
      <x:c r="C59" s="45"/>
      <x:c r="D59" s="23"/>
      <x:c r="E59" s="23"/>
      <x:c r="F59" s="23"/>
      <x:c r="G59" s="23"/>
      <x:c r="H59" s="23"/>
      <x:c r="I59" s="23"/>
      <x:c r="J59" s="26"/>
    </x:row>
    <x:row r="60" ht="42.75" customHeight="1">
      <x:c r="A60" s="43"/>
      <x:c r="B60" s="45"/>
      <x:c r="C60" s="45"/>
      <x:c r="D60" s="23"/>
      <x:c r="E60" s="23"/>
      <x:c r="F60" s="23"/>
      <x:c r="G60" s="23"/>
      <x:c r="H60" s="23"/>
      <x:c r="I60" s="23"/>
      <x:c r="J60" s="26"/>
    </x:row>
    <x:row r="61" ht="42.75" customHeight="1">
      <x:c r="A61" s="43"/>
      <x:c r="B61" s="45"/>
      <x:c r="C61" s="45"/>
      <x:c r="D61" s="23"/>
      <x:c r="E61" s="23"/>
      <x:c r="F61" s="23"/>
      <x:c r="G61" s="23"/>
      <x:c r="H61" s="23"/>
      <x:c r="I61" s="23"/>
      <x:c r="J61" s="26"/>
    </x:row>
    <x:row r="62" ht="42.75" customHeight="1">
      <x:c r="A62" s="43"/>
      <x:c r="B62" s="45"/>
      <x:c r="C62" s="45"/>
      <x:c r="D62" s="23"/>
      <x:c r="E62" s="23"/>
      <x:c r="F62" s="23"/>
      <x:c r="G62" s="23"/>
      <x:c r="H62" s="23"/>
      <x:c r="I62" s="23"/>
      <x:c r="J62" s="26"/>
    </x:row>
    <x:row r="63" ht="42.75" customHeight="1">
      <x:c r="A63" s="43"/>
      <x:c r="B63" s="45"/>
      <x:c r="C63" s="45"/>
      <x:c r="D63" s="23"/>
      <x:c r="E63" s="23"/>
      <x:c r="F63" s="23"/>
      <x:c r="G63" s="23"/>
      <x:c r="H63" s="23"/>
      <x:c r="I63" s="23"/>
      <x:c r="J63" s="26"/>
    </x:row>
    <x:row r="64" ht="42.75" customHeight="1">
      <x:c r="A64" s="43"/>
      <x:c r="B64" s="45"/>
      <x:c r="C64" s="45"/>
      <x:c r="D64" s="23"/>
      <x:c r="E64" s="23"/>
      <x:c r="F64" s="23"/>
      <x:c r="G64" s="23"/>
      <x:c r="H64" s="23"/>
      <x:c r="I64" s="23"/>
      <x:c r="J64" s="26"/>
    </x:row>
    <x:row r="65" ht="42.75" customHeight="1">
      <x:c r="A65" s="43"/>
      <x:c r="B65" s="45"/>
      <x:c r="C65" s="45"/>
      <x:c r="D65" s="23"/>
      <x:c r="E65" s="23"/>
      <x:c r="F65" s="23"/>
      <x:c r="G65" s="23"/>
      <x:c r="H65" s="23"/>
      <x:c r="I65" s="23"/>
      <x:c r="J65" s="26"/>
    </x:row>
    <x:row r="66" ht="42.75" customHeight="1">
      <x:c r="A66" s="43"/>
      <x:c r="B66" s="45"/>
      <x:c r="C66" s="45"/>
      <x:c r="D66" s="23"/>
      <x:c r="E66" s="23"/>
      <x:c r="F66" s="23"/>
      <x:c r="G66" s="23"/>
      <x:c r="H66" s="23"/>
      <x:c r="I66" s="23"/>
      <x:c r="J66" s="26"/>
    </x:row>
    <x:row r="67" ht="42.75" customHeight="1">
      <x:c r="A67" s="43"/>
      <x:c r="B67" s="45"/>
      <x:c r="C67" s="45"/>
      <x:c r="D67" s="23"/>
      <x:c r="E67" s="23"/>
      <x:c r="F67" s="23"/>
      <x:c r="G67" s="23"/>
      <x:c r="H67" s="23"/>
      <x:c r="I67" s="23"/>
      <x:c r="J67" s="26"/>
    </x:row>
    <x:row r="68" ht="42.75" customHeight="1">
      <x:c r="A68" s="43"/>
      <x:c r="B68" s="45"/>
      <x:c r="C68" s="45"/>
      <x:c r="D68" s="23"/>
      <x:c r="E68" s="23"/>
      <x:c r="F68" s="23"/>
      <x:c r="G68" s="23"/>
      <x:c r="H68" s="23"/>
      <x:c r="I68" s="23"/>
      <x:c r="J68" s="26"/>
    </x:row>
    <x:row r="69" ht="42.75" customHeight="1">
      <x:c r="A69" s="43"/>
      <x:c r="B69" s="45"/>
      <x:c r="C69" s="45"/>
      <x:c r="D69" s="23"/>
      <x:c r="E69" s="23"/>
      <x:c r="F69" s="23"/>
      <x:c r="G69" s="23"/>
      <x:c r="H69" s="23"/>
      <x:c r="I69" s="23"/>
      <x:c r="J69" s="26"/>
    </x:row>
    <x:row r="70" ht="42.75" customHeight="1">
      <x:c r="A70" s="43"/>
      <x:c r="B70" s="45"/>
      <x:c r="C70" s="45"/>
      <x:c r="D70" s="23"/>
      <x:c r="E70" s="23"/>
      <x:c r="F70" s="23"/>
      <x:c r="G70" s="23"/>
      <x:c r="H70" s="23"/>
      <x:c r="I70" s="23"/>
      <x:c r="J70" s="26"/>
    </x:row>
    <x:row r="71" ht="42.75" customHeight="1">
      <x:c r="A71" s="43"/>
      <x:c r="B71" s="45"/>
      <x:c r="C71" s="45"/>
      <x:c r="D71" s="23"/>
      <x:c r="E71" s="23"/>
      <x:c r="F71" s="23"/>
      <x:c r="G71" s="23"/>
      <x:c r="H71" s="23"/>
      <x:c r="I71" s="23"/>
      <x:c r="J71" s="26"/>
    </x:row>
    <x:row r="72" ht="42.75" customHeight="1">
      <x:c r="A72" s="43"/>
      <x:c r="B72" s="45"/>
      <x:c r="C72" s="45"/>
      <x:c r="D72" s="23"/>
      <x:c r="E72" s="23"/>
      <x:c r="F72" s="23"/>
      <x:c r="G72" s="23"/>
      <x:c r="H72" s="23"/>
      <x:c r="I72" s="23"/>
      <x:c r="J72" s="26"/>
    </x:row>
    <x:row r="73" ht="42.75" customHeight="1">
      <x:c r="A73" s="43"/>
      <x:c r="B73" s="45"/>
      <x:c r="C73" s="45"/>
      <x:c r="D73" s="23"/>
      <x:c r="E73" s="23"/>
      <x:c r="F73" s="23"/>
      <x:c r="G73" s="23"/>
      <x:c r="H73" s="23"/>
      <x:c r="I73" s="23"/>
      <x:c r="J73" s="26"/>
    </x:row>
    <x:row r="74" ht="42.75" customHeight="1">
      <x:c r="A74" s="43"/>
      <x:c r="B74" s="45"/>
      <x:c r="C74" s="45"/>
      <x:c r="D74" s="23"/>
      <x:c r="E74" s="23"/>
      <x:c r="F74" s="23"/>
      <x:c r="G74" s="23"/>
      <x:c r="H74" s="23"/>
      <x:c r="I74" s="23"/>
      <x:c r="J74" s="26"/>
    </x:row>
    <x:row r="75" ht="42.75" customHeight="1">
      <x:c r="A75" s="43"/>
      <x:c r="B75" s="45"/>
      <x:c r="C75" s="45"/>
      <x:c r="D75" s="23"/>
      <x:c r="E75" s="23"/>
      <x:c r="F75" s="23"/>
      <x:c r="G75" s="23"/>
      <x:c r="H75" s="23"/>
      <x:c r="I75" s="23"/>
      <x:c r="J75" s="26"/>
    </x:row>
    <x:row r="76" ht="42.75" customHeight="1">
      <x:c r="A76" s="43"/>
      <x:c r="B76" s="45"/>
      <x:c r="C76" s="45"/>
      <x:c r="D76" s="23"/>
      <x:c r="E76" s="23"/>
      <x:c r="F76" s="23"/>
      <x:c r="G76" s="23"/>
      <x:c r="H76" s="23"/>
      <x:c r="I76" s="23"/>
      <x:c r="J76" s="26"/>
    </x:row>
    <x:row r="77" ht="42.75" customHeight="1">
      <x:c r="A77" s="43"/>
      <x:c r="B77" s="45"/>
      <x:c r="C77" s="45"/>
      <x:c r="D77" s="23"/>
      <x:c r="E77" s="23"/>
      <x:c r="F77" s="23"/>
      <x:c r="G77" s="23"/>
      <x:c r="H77" s="23"/>
      <x:c r="I77" s="23"/>
      <x:c r="J77" s="26"/>
    </x:row>
    <x:row r="78" ht="42.75" customHeight="1">
      <x:c r="A78" s="43"/>
      <x:c r="B78" s="45"/>
      <x:c r="C78" s="45"/>
      <x:c r="D78" s="23"/>
      <x:c r="E78" s="23"/>
      <x:c r="F78" s="23"/>
      <x:c r="G78" s="23"/>
      <x:c r="H78" s="23"/>
      <x:c r="I78" s="23"/>
      <x:c r="J78" s="26"/>
    </x:row>
    <x:row r="79" ht="42.75" customHeight="1">
      <x:c r="A79" s="43"/>
      <x:c r="B79" s="45"/>
      <x:c r="C79" s="45"/>
      <x:c r="D79" s="23"/>
      <x:c r="E79" s="23"/>
      <x:c r="F79" s="23"/>
      <x:c r="G79" s="23"/>
      <x:c r="H79" s="23"/>
      <x:c r="I79" s="23"/>
      <x:c r="J79" s="26"/>
    </x:row>
    <x:row r="80" ht="42.75" customHeight="1">
      <x:c r="A80" s="43"/>
      <x:c r="B80" s="45"/>
      <x:c r="C80" s="45"/>
      <x:c r="D80" s="23"/>
      <x:c r="E80" s="23"/>
      <x:c r="F80" s="23"/>
      <x:c r="G80" s="23"/>
      <x:c r="H80" s="23"/>
      <x:c r="I80" s="23"/>
      <x:c r="J80" s="26"/>
    </x:row>
    <x:row r="81" ht="42.75" customHeight="1">
      <x:c r="A81" s="43"/>
      <x:c r="B81" s="45"/>
      <x:c r="C81" s="45"/>
      <x:c r="D81" s="23"/>
      <x:c r="E81" s="23"/>
      <x:c r="F81" s="23"/>
      <x:c r="G81" s="23"/>
      <x:c r="H81" s="23"/>
      <x:c r="I81" s="23"/>
      <x:c r="J81" s="26"/>
    </x:row>
    <x:row r="82" ht="42.75" customHeight="1">
      <x:c r="A82" s="43"/>
      <x:c r="B82" s="45"/>
      <x:c r="C82" s="45"/>
      <x:c r="D82" s="23"/>
      <x:c r="E82" s="23"/>
      <x:c r="F82" s="23"/>
      <x:c r="G82" s="23"/>
      <x:c r="H82" s="23"/>
      <x:c r="I82" s="23"/>
      <x:c r="J82" s="26"/>
    </x:row>
    <x:row r="83" ht="42.75" customHeight="1">
      <x:c r="A83" s="43"/>
      <x:c r="B83" s="45"/>
      <x:c r="C83" s="45"/>
      <x:c r="D83" s="23"/>
      <x:c r="E83" s="23"/>
      <x:c r="F83" s="23"/>
      <x:c r="G83" s="23"/>
      <x:c r="H83" s="23"/>
      <x:c r="I83" s="23"/>
      <x:c r="J83" s="26"/>
    </x:row>
    <x:row r="84" ht="42.75" customHeight="1">
      <x:c r="A84" s="43"/>
      <x:c r="B84" s="45"/>
      <x:c r="C84" s="45"/>
      <x:c r="D84" s="23"/>
      <x:c r="E84" s="23"/>
      <x:c r="F84" s="23"/>
      <x:c r="G84" s="23"/>
      <x:c r="H84" s="23"/>
      <x:c r="I84" s="23"/>
      <x:c r="J84" s="26"/>
    </x:row>
    <x:row r="85" ht="42.75" customHeight="1">
      <x:c r="A85" s="43"/>
      <x:c r="B85" s="45"/>
      <x:c r="C85" s="45"/>
      <x:c r="D85" s="23"/>
      <x:c r="E85" s="23"/>
      <x:c r="F85" s="23"/>
      <x:c r="G85" s="23"/>
      <x:c r="H85" s="23"/>
      <x:c r="I85" s="23"/>
      <x:c r="J85" s="26"/>
    </x:row>
    <x:row r="86" ht="42.75" customHeight="1">
      <x:c r="A86" s="43"/>
      <x:c r="B86" s="45"/>
      <x:c r="C86" s="45"/>
      <x:c r="D86" s="23"/>
      <x:c r="E86" s="23"/>
      <x:c r="F86" s="23"/>
      <x:c r="G86" s="23"/>
      <x:c r="H86" s="23"/>
      <x:c r="I86" s="23"/>
      <x:c r="J86" s="26"/>
    </x:row>
    <x:row r="87" ht="42.75" customHeight="1">
      <x:c r="A87" s="43"/>
      <x:c r="B87" s="45"/>
      <x:c r="C87" s="45"/>
      <x:c r="D87" s="23"/>
      <x:c r="E87" s="23"/>
      <x:c r="F87" s="23"/>
      <x:c r="G87" s="23"/>
      <x:c r="H87" s="23"/>
      <x:c r="I87" s="23"/>
      <x:c r="J87" s="26"/>
    </x:row>
    <x:row r="88" ht="42.75" customHeight="1">
      <x:c r="A88" s="43"/>
      <x:c r="B88" s="45"/>
      <x:c r="C88" s="45"/>
      <x:c r="D88" s="23"/>
      <x:c r="E88" s="23"/>
      <x:c r="F88" s="23"/>
      <x:c r="G88" s="23"/>
      <x:c r="H88" s="23"/>
      <x:c r="I88" s="23"/>
      <x:c r="J88" s="26"/>
    </x:row>
    <x:row r="89" ht="42.75" customHeight="1">
      <x:c r="A89" s="43"/>
      <x:c r="B89" s="45"/>
      <x:c r="C89" s="45"/>
      <x:c r="D89" s="23"/>
      <x:c r="E89" s="23"/>
      <x:c r="F89" s="23"/>
      <x:c r="G89" s="23"/>
      <x:c r="H89" s="23"/>
      <x:c r="I89" s="23"/>
      <x:c r="J89" s="26"/>
    </x:row>
    <x:row r="90" ht="42.75" customHeight="1">
      <x:c r="A90" s="43"/>
      <x:c r="B90" s="45"/>
      <x:c r="C90" s="45"/>
      <x:c r="D90" s="23"/>
      <x:c r="E90" s="23"/>
      <x:c r="F90" s="23"/>
      <x:c r="G90" s="23"/>
      <x:c r="H90" s="23"/>
      <x:c r="I90" s="23"/>
      <x:c r="J90" s="26"/>
    </x:row>
    <x:row r="91" ht="42.75" customHeight="1">
      <x:c r="A91" s="43"/>
      <x:c r="B91" s="45"/>
      <x:c r="C91" s="45"/>
      <x:c r="D91" s="23"/>
      <x:c r="E91" s="23"/>
      <x:c r="F91" s="23"/>
      <x:c r="G91" s="23"/>
      <x:c r="H91" s="23"/>
      <x:c r="I91" s="23"/>
      <x:c r="J91" s="26"/>
    </x:row>
    <x:row r="92" ht="42.75" customHeight="1">
      <x:c r="A92" s="43"/>
      <x:c r="B92" s="45"/>
      <x:c r="C92" s="45"/>
      <x:c r="D92" s="23"/>
      <x:c r="E92" s="23"/>
      <x:c r="F92" s="23"/>
      <x:c r="G92" s="23"/>
      <x:c r="H92" s="23"/>
      <x:c r="I92" s="23"/>
      <x:c r="J92" s="26"/>
    </x:row>
    <x:row r="93" ht="42.75" customHeight="1">
      <x:c r="A93" s="43"/>
      <x:c r="B93" s="45"/>
      <x:c r="C93" s="45"/>
      <x:c r="D93" s="23"/>
      <x:c r="E93" s="23"/>
      <x:c r="F93" s="23"/>
      <x:c r="G93" s="23"/>
      <x:c r="H93" s="23"/>
      <x:c r="I93" s="23"/>
      <x:c r="J93" s="26"/>
    </x:row>
    <x:row r="94" ht="42.75" customHeight="1">
      <x:c r="A94" s="43"/>
      <x:c r="B94" s="45"/>
      <x:c r="C94" s="45"/>
      <x:c r="D94" s="23"/>
      <x:c r="E94" s="23"/>
      <x:c r="F94" s="23"/>
      <x:c r="G94" s="23"/>
      <x:c r="H94" s="23"/>
      <x:c r="I94" s="23"/>
      <x:c r="J94" s="26"/>
    </x:row>
    <x:row r="95" ht="42.75" customHeight="1">
      <x:c r="A95" s="43"/>
      <x:c r="B95" s="45"/>
      <x:c r="C95" s="45"/>
      <x:c r="D95" s="23"/>
      <x:c r="E95" s="23"/>
      <x:c r="F95" s="23"/>
      <x:c r="G95" s="23"/>
      <x:c r="H95" s="23"/>
      <x:c r="I95" s="23"/>
      <x:c r="J95" s="26"/>
    </x:row>
    <x:row r="96" ht="42.75" customHeight="1">
      <x:c r="A96" s="43"/>
      <x:c r="B96" s="45"/>
      <x:c r="C96" s="45"/>
      <x:c r="D96" s="23"/>
      <x:c r="E96" s="23"/>
      <x:c r="F96" s="23"/>
      <x:c r="G96" s="23"/>
      <x:c r="H96" s="23"/>
      <x:c r="I96" s="23"/>
      <x:c r="J96" s="26"/>
    </x:row>
    <x:row r="97" ht="42.75" customHeight="1">
      <x:c r="A97" s="43"/>
      <x:c r="B97" s="45"/>
      <x:c r="C97" s="45"/>
      <x:c r="D97" s="23"/>
      <x:c r="E97" s="23"/>
      <x:c r="F97" s="23"/>
      <x:c r="G97" s="23"/>
      <x:c r="H97" s="23"/>
      <x:c r="I97" s="23"/>
      <x:c r="J97" s="26"/>
    </x:row>
    <x:row r="98" ht="42.75" customHeight="1">
      <x:c r="A98" s="43"/>
      <x:c r="B98" s="45"/>
      <x:c r="C98" s="45"/>
      <x:c r="D98" s="23"/>
      <x:c r="E98" s="23"/>
      <x:c r="F98" s="23"/>
      <x:c r="G98" s="23"/>
      <x:c r="H98" s="23"/>
      <x:c r="I98" s="23"/>
      <x:c r="J98" s="26"/>
    </x:row>
    <x:row r="99" ht="42.75" customHeight="1">
      <x:c r="A99" s="43"/>
      <x:c r="B99" s="45"/>
      <x:c r="C99" s="45"/>
      <x:c r="D99" s="23"/>
      <x:c r="E99" s="23"/>
      <x:c r="F99" s="23"/>
      <x:c r="G99" s="23"/>
      <x:c r="H99" s="23"/>
      <x:c r="I99" s="23"/>
      <x:c r="J99" s="26"/>
    </x:row>
    <x:row r="100" ht="42.75" customHeight="1">
      <x:c r="A100" s="44"/>
      <x:c r="B100" s="46"/>
      <x:c r="C100" s="46"/>
      <x:c r="D100" s="24"/>
      <x:c r="E100" s="24"/>
      <x:c r="F100" s="24"/>
      <x:c r="G100" s="24"/>
      <x:c r="H100" s="24"/>
      <x:c r="I100" s="24"/>
      <x:c r="J100" s="27"/>
    </x:row>
  </x:sheetData>
  <x:mergeCells>
    <x:mergeCell ref="A1:J1"/>
    <x:mergeCell ref="A2:J2"/>
  </x:mergeCells>
  <x:conditionalFormatting sqref="F5:F100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1:F17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8:F24">
    <x:cfRule type="colorScale" priority="3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25:F31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dataValidations count="8">
    <x:dataValidation type="list" sqref="D5:D100">
      <x:formula1>"Запланировано,Пройдено,Перенесено"</x:formula1>
    </x:dataValidation>
    <x:dataValidation type="list" sqref="E5:E100">
      <x:formula1>"Короткий тест,Практика,Инженерный кейс,Комплексная контрольная"</x:formula1>
    </x:dataValidation>
    <x:dataValidation type="list" sqref="D11:D17">
      <x:formula1>"Запланировано,Пройдено,Перенесено"</x:formula1>
    </x:dataValidation>
    <x:dataValidation type="list" sqref="E11:E17">
      <x:formula1>"Короткий тест,Практика,Инженерный кейс,Комплексная контрольная"</x:formula1>
    </x:dataValidation>
    <x:dataValidation type="list" sqref="D18:D24">
      <x:formula1>"Запланировано,Пройдено,Перенесено"</x:formula1>
    </x:dataValidation>
    <x:dataValidation type="list" sqref="E18:E24">
      <x:formula1>"Короткий тест,Практика,Инженерный кейс,Комплексная контрольная"</x:formula1>
    </x:dataValidation>
    <x:dataValidation type="list" sqref="D25:D31">
      <x:formula1>"Запланировано,Пройдено,Перенесено"</x:formula1>
    </x:dataValidation>
    <x:dataValidation type="list" sqref="E25:E31">
      <x:formula1>"Короткий тест,Практика,Инженерный кейс,Комплексная контрольная"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23" customWidth="1"/>
    <x:col min="3" max="3" width="40" customWidth="1"/>
    <x:col min="4" max="4" width="34" customWidth="1"/>
    <x:col min="5" max="5" width="4" customWidth="1"/>
    <x:col min="6" max="6" width="11" customWidth="1"/>
    <x:col min="7" max="7" width="22" customWidth="1"/>
    <x:col min="8" max="8" width="38" customWidth="1"/>
  </x:cols>
  <x:sheetData>
    <x:row r="1" ht="23">
      <x:c r="A1" s="84" t="s">
        <x:v>182</x:v>
      </x:c>
      <x:c r="B1" s="84"/>
      <x:c r="C1" s="84"/>
      <x:c r="D1" s="84"/>
      <x:c r="E1" s="84"/>
      <x:c r="F1" s="84"/>
      <x:c r="G1" s="84"/>
      <x:c r="H1" s="84"/>
    </x:row>
    <x:row r="3">
      <x:c r="A3" s="86" t="s">
        <x:v>183</x:v>
      </x:c>
      <x:c r="B3" s="86"/>
      <x:c r="C3" s="86"/>
      <x:c r="D3" s="86"/>
      <x:c r="F3" s="86" t="s">
        <x:v>184</x:v>
      </x:c>
      <x:c r="G3" s="86"/>
      <x:c r="H3" s="86"/>
    </x:row>
    <x:row r="4" ht="16">
      <x:c r="A4" s="12" t="s">
        <x:v>185</x:v>
      </x:c>
      <x:c r="B4" s="12" t="s">
        <x:v>186</x:v>
      </x:c>
      <x:c r="C4" s="12" t="s">
        <x:v>187</x:v>
      </x:c>
      <x:c r="D4" s="12" t="s">
        <x:v>188</x:v>
      </x:c>
      <x:c r="F4" s="12" t="s">
        <x:v>189</x:v>
      </x:c>
      <x:c r="G4" s="12" t="s">
        <x:v>186</x:v>
      </x:c>
      <x:c r="H4" s="12" t="s">
        <x:v>190</x:v>
      </x:c>
    </x:row>
    <x:row r="5" ht="50.75" customHeight="1">
      <x:c r="A5" s="42">
        <x:v>0</x:v>
      </x:c>
      <x:c r="B5" s="22" t="s">
        <x:v>191</x:v>
      </x:c>
      <x:c r="C5" s="22" t="s">
        <x:v>192</x:v>
      </x:c>
      <x:c r="D5" s="25" t="s">
        <x:v>193</x:v>
      </x:c>
      <x:c r="F5" s="33">
        <x:v>0</x:v>
      </x:c>
      <x:c r="G5" s="34" t="s">
        <x:v>194</x:v>
      </x:c>
      <x:c r="H5" s="35" t="s">
        <x:v>195</x:v>
      </x:c>
    </x:row>
    <x:row r="6" ht="50.75" customHeight="1">
      <x:c r="A6" s="43">
        <x:v>1</x:v>
      </x:c>
      <x:c r="B6" s="23" t="s">
        <x:v>196</x:v>
      </x:c>
      <x:c r="C6" s="23" t="s">
        <x:v>197</x:v>
      </x:c>
      <x:c r="D6" s="26" t="s">
        <x:v>198</x:v>
      </x:c>
      <x:c r="F6" s="36">
        <x:v>1</x:v>
      </x:c>
      <x:c r="G6" s="37" t="s">
        <x:v>199</x:v>
      </x:c>
      <x:c r="H6" s="38" t="s">
        <x:v>200</x:v>
      </x:c>
    </x:row>
    <x:row r="7" ht="50.75" customHeight="1">
      <x:c r="A7" s="43">
        <x:v>2</x:v>
      </x:c>
      <x:c r="B7" s="23" t="s">
        <x:v>201</x:v>
      </x:c>
      <x:c r="C7" s="23" t="s">
        <x:v>202</x:v>
      </x:c>
      <x:c r="D7" s="26" t="s">
        <x:v>203</x:v>
      </x:c>
      <x:c r="F7" s="36">
        <x:v>2</x:v>
      </x:c>
      <x:c r="G7" s="37" t="s">
        <x:v>204</x:v>
      </x:c>
      <x:c r="H7" s="38" t="s">
        <x:v>205</x:v>
      </x:c>
    </x:row>
    <x:row r="8" ht="50.75" customHeight="1">
      <x:c r="A8" s="43">
        <x:v>3</x:v>
      </x:c>
      <x:c r="B8" s="23" t="s">
        <x:v>206</x:v>
      </x:c>
      <x:c r="C8" s="23" t="s">
        <x:v>207</x:v>
      </x:c>
      <x:c r="D8" s="26" t="s">
        <x:v>208</x:v>
      </x:c>
      <x:c r="F8" s="39">
        <x:v>3</x:v>
      </x:c>
      <x:c r="G8" s="40" t="s">
        <x:v>209</x:v>
      </x:c>
      <x:c r="H8" s="41" t="s">
        <x:v>210</x:v>
      </x:c>
    </x:row>
    <x:row r="9" ht="56" customHeight="1">
      <x:c r="A9" s="43">
        <x:v>4</x:v>
      </x:c>
      <x:c r="B9" s="23" t="s">
        <x:v>211</x:v>
      </x:c>
      <x:c r="C9" s="23" t="s">
        <x:v>212</x:v>
      </x:c>
      <x:c r="D9" s="26" t="s">
        <x:v>213</x:v>
      </x:c>
    </x:row>
    <x:row r="10" ht="56" customHeight="1">
      <x:c r="A10" s="44">
        <x:v>5</x:v>
      </x:c>
      <x:c r="B10" s="24" t="s">
        <x:v>214</x:v>
      </x:c>
      <x:c r="C10" s="24" t="s">
        <x:v>215</x:v>
      </x:c>
      <x:c r="D10" s="27" t="s">
        <x:v>216</x:v>
      </x:c>
    </x:row>
    <x:row r="12">
      <x:c r="A12" s="86" t="s">
        <x:v>217</x:v>
      </x:c>
      <x:c r="B12" s="86"/>
      <x:c r="C12" s="86"/>
      <x:c r="D12" s="86"/>
      <x:c r="E12" s="86"/>
      <x:c r="F12" s="86"/>
      <x:c r="G12" s="86"/>
      <x:c r="H12" s="86"/>
    </x:row>
    <x:row r="13" ht="56" customHeight="1">
      <x:c r="A13" s="4" t="s">
        <x:v>10</x:v>
      </x:c>
      <x:c r="B13" s="7" t="s">
        <x:v>218</x:v>
      </x:c>
      <x:c r="C13" s="47" t="s">
        <x:v>219</x:v>
      </x:c>
    </x:row>
    <x:row r="14" ht="56" customHeight="1">
      <x:c r="A14" s="5" t="s">
        <x:v>13</x:v>
      </x:c>
      <x:c r="B14" s="8" t="s">
        <x:v>220</x:v>
      </x:c>
      <x:c r="C14" s="48" t="s">
        <x:v>221</x:v>
      </x:c>
    </x:row>
    <x:row r="15" ht="56" customHeight="1">
      <x:c r="A15" s="5" t="s">
        <x:v>16</x:v>
      </x:c>
      <x:c r="B15" s="8" t="s">
        <x:v>222</x:v>
      </x:c>
      <x:c r="C15" s="48" t="s">
        <x:v>223</x:v>
      </x:c>
    </x:row>
    <x:row r="16" ht="56" customHeight="1">
      <x:c r="A16" s="5" t="s">
        <x:v>19</x:v>
      </x:c>
      <x:c r="B16" s="8" t="s">
        <x:v>224</x:v>
      </x:c>
      <x:c r="C16" s="48" t="s">
        <x:v>225</x:v>
      </x:c>
    </x:row>
    <x:row r="17" ht="56" customHeight="1">
      <x:c r="A17" s="5" t="s">
        <x:v>22</x:v>
      </x:c>
      <x:c r="B17" s="8" t="s">
        <x:v>226</x:v>
      </x:c>
      <x:c r="C17" s="48" t="s">
        <x:v>227</x:v>
      </x:c>
    </x:row>
    <x:row r="18" ht="56" customHeight="1">
      <x:c r="A18" s="6" t="s">
        <x:v>228</x:v>
      </x:c>
      <x:c r="B18" s="9" t="s">
        <x:v>229</x:v>
      </x:c>
      <x:c r="C18" s="49" t="s">
        <x:v>230</x:v>
      </x:c>
    </x:row>
    <x:row r="20">
      <x:c r="A20" s="86" t="s">
        <x:v>231</x:v>
      </x:c>
      <x:c r="B20" s="86"/>
      <x:c r="C20" s="86"/>
      <x:c r="D20" s="86"/>
      <x:c r="E20" s="86"/>
      <x:c r="F20" s="86"/>
      <x:c r="G20" s="86"/>
      <x:c r="H20" s="86"/>
    </x:row>
    <x:row r="21" ht="16">
      <x:c r="A21" s="12" t="s">
        <x:v>232</x:v>
      </x:c>
      <x:c r="B21" s="12" t="s">
        <x:v>233</x:v>
      </x:c>
      <x:c r="C21" s="12" t="s">
        <x:v>234</x:v>
      </x:c>
      <x:c r="D21" s="12" t="s">
        <x:v>235</x:v>
      </x:c>
    </x:row>
    <x:row r="22">
      <x:c r="A22" s="33" t="s">
        <x:v>236</x:v>
      </x:c>
      <x:c r="B22" s="34" t="s">
        <x:v>237</x:v>
      </x:c>
      <x:c r="C22" s="34" t="s">
        <x:v>238</x:v>
      </x:c>
      <x:c r="D22" s="35" t="s">
        <x:v>239</x:v>
      </x:c>
    </x:row>
    <x:row r="23">
      <x:c r="A23" s="36" t="s">
        <x:v>240</x:v>
      </x:c>
      <x:c r="B23" s="37" t="s">
        <x:v>241</x:v>
      </x:c>
      <x:c r="C23" s="37" t="s">
        <x:v>242</x:v>
      </x:c>
      <x:c r="D23" s="38" t="s">
        <x:v>243</x:v>
      </x:c>
    </x:row>
    <x:row r="24" ht="29">
      <x:c r="A24" s="36" t="s">
        <x:v>244</x:v>
      </x:c>
      <x:c r="B24" s="37" t="s">
        <x:v>245</x:v>
      </x:c>
      <x:c r="C24" s="37" t="s">
        <x:v>246</x:v>
      </x:c>
      <x:c r="D24" s="38" t="s">
        <x:v>247</x:v>
      </x:c>
    </x:row>
    <x:row r="25">
      <x:c r="A25" s="36" t="s">
        <x:v>248</x:v>
      </x:c>
      <x:c r="B25" s="37" t="s">
        <x:v>249</x:v>
      </x:c>
      <x:c r="C25" s="37" t="s">
        <x:v>250</x:v>
      </x:c>
      <x:c r="D25" s="38" t="s">
        <x:v>251</x:v>
      </x:c>
    </x:row>
    <x:row r="26" ht="29">
      <x:c r="A26" s="36" t="s">
        <x:v>252</x:v>
      </x:c>
      <x:c r="B26" s="37" t="s">
        <x:v>7</x:v>
      </x:c>
      <x:c r="C26" s="37" t="s">
        <x:v>253</x:v>
      </x:c>
      <x:c r="D26" s="38" t="s">
        <x:v>254</x:v>
      </x:c>
    </x:row>
    <x:row r="27" ht="29">
      <x:c r="A27" s="39" t="s">
        <x:v>255</x:v>
      </x:c>
      <x:c r="B27" s="40" t="s">
        <x:v>169</x:v>
      </x:c>
      <x:c r="C27" s="40" t="s">
        <x:v>256</x:v>
      </x:c>
      <x:c r="D27" s="41" t="s">
        <x:v>257</x:v>
      </x:c>
    </x:row>
  </x:sheetData>
  <x:mergeCells>
    <x:mergeCell ref="A1:H1"/>
    <x:mergeCell ref="A3:D3"/>
    <x:mergeCell ref="F3:H3"/>
    <x:mergeCell ref="A12:H12"/>
    <x:mergeCell ref="A20:H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7" customWidth="1"/>
    <x:col min="2" max="2" width="12" customWidth="1"/>
    <x:col min="3" max="3" width="30" customWidth="1"/>
    <x:col min="4" max="4" width="62" customWidth="1"/>
    <x:col min="5" max="5" width="11" customWidth="1"/>
    <x:col min="6" max="6" width="12" customWidth="1"/>
    <x:col min="7" max="7" width="15" customWidth="1"/>
    <x:col min="8" max="8" width="12" customWidth="1"/>
  </x:cols>
  <x:sheetData>
    <x:row r="1">
      <x:c r="A1" s="101" t="s">
        <x:v>258</x:v>
      </x:c>
      <x:c r="B1" s="101"/>
      <x:c r="C1" s="101"/>
      <x:c r="D1" s="101"/>
      <x:c r="E1" s="101"/>
      <x:c r="F1" s="101"/>
      <x:c r="G1" s="101"/>
      <x:c r="H1" s="101"/>
    </x:row>
    <x:row r="2">
      <x:c r="A2" s="101"/>
      <x:c r="B2" s="101"/>
      <x:c r="C2" s="101"/>
      <x:c r="D2" s="101"/>
      <x:c r="E2" s="101"/>
      <x:c r="F2" s="101"/>
      <x:c r="G2" s="101"/>
      <x:c r="H2" s="101"/>
    </x:row>
    <x:row r="4" ht="16">
      <x:c r="A4" s="55" t="s">
        <x:v>259</x:v>
      </x:c>
      <x:c r="B4" s="55" t="s">
        <x:v>35</x:v>
      </x:c>
      <x:c r="C4" s="55" t="s">
        <x:v>11</x:v>
      </x:c>
      <x:c r="D4" s="55" t="s">
        <x:v>260</x:v>
      </x:c>
      <x:c r="E4" s="55" t="s">
        <x:v>261</x:v>
      </x:c>
      <x:c r="F4" s="55" t="s">
        <x:v>262</x:v>
      </x:c>
      <x:c r="G4" s="55" t="s">
        <x:v>37</x:v>
      </x:c>
      <x:c r="H4" s="55" t="s">
        <x:v>263</x:v>
      </x:c>
    </x:row>
    <x:row r="5" ht="64" customHeight="1">
      <x:c r="A5" s="56">
        <x:v>1</x:v>
      </x:c>
      <x:c r="B5" s="56" t="s">
        <x:v>55</x:v>
      </x:c>
      <x:c r="C5" s="56" t="s">
        <x:v>56</x:v>
      </x:c>
      <x:c r="D5" s="56" t="s">
        <x:v>264</x:v>
      </x:c>
      <x:c r="E5" s="56">
        <x:v>150</x:v>
      </x:c>
      <x:c r="F5" s="56">
        <x:v>100</x:v>
      </x:c>
      <x:c r="G5" s="58" t="s">
        <x:v>57</x:v>
      </x:c>
      <x:c r="H5" s="57">
        <x:v>24.75</x:v>
      </x:c>
    </x:row>
    <x:row r="6" ht="64" customHeight="1">
      <x:c r="A6" s="56">
        <x:v>2</x:v>
      </x:c>
      <x:c r="B6" s="56" t="s">
        <x:v>60</x:v>
      </x:c>
      <x:c r="C6" s="56" t="s">
        <x:v>61</x:v>
      </x:c>
      <x:c r="D6" s="56" t="s">
        <x:v>265</x:v>
      </x:c>
      <x:c r="E6" s="56">
        <x:v>150</x:v>
      </x:c>
      <x:c r="F6" s="56">
        <x:v>100</x:v>
      </x:c>
      <x:c r="G6" s="178" t="str">
        <x:v>Завершен</x:v>
      </x:c>
      <x:c r="H6" s="173" t="n">
        <x:v>62.4</x:v>
      </x:c>
    </x:row>
    <x:row r="7" ht="64" customHeight="1">
      <x:c r="A7" s="56">
        <x:v>3</x:v>
      </x:c>
      <x:c r="B7" s="56" t="s">
        <x:v>62</x:v>
      </x:c>
      <x:c r="C7" s="56" t="s">
        <x:v>63</x:v>
      </x:c>
      <x:c r="D7" s="56" t="s">
        <x:v>266</x:v>
      </x:c>
      <x:c r="E7" s="56">
        <x:v>150</x:v>
      </x:c>
      <x:c r="F7" s="56">
        <x:v>100</x:v>
      </x:c>
      <x:c r="G7" s="538" t="str">
        <x:v>Завершен</x:v>
      </x:c>
      <x:c r="H7" s="173" t="n">
        <x:v>43.7</x:v>
      </x:c>
    </x:row>
    <x:row r="8" ht="64" customHeight="1">
      <x:c r="A8" s="56">
        <x:v>4</x:v>
      </x:c>
      <x:c r="B8" s="56" t="s">
        <x:v>64</x:v>
      </x:c>
      <x:c r="C8" s="56" t="s">
        <x:v>65</x:v>
      </x:c>
      <x:c r="D8" s="56" t="s">
        <x:v>267</x:v>
      </x:c>
      <x:c r="E8" s="56">
        <x:v>165</x:v>
      </x:c>
      <x:c r="F8" s="56">
        <x:v>100</x:v>
      </x:c>
      <x:c r="G8" s="691" t="str">
        <x:v>Завершен</x:v>
      </x:c>
      <x:c r="H8" s="173" t="n">
        <x:v>70.8</x:v>
      </x:c>
    </x:row>
    <x:row r="9" ht="64" customHeight="1">
      <x:c r="A9" s="56">
        <x:v>5</x:v>
      </x:c>
      <x:c r="B9" s="56" t="s">
        <x:v>66</x:v>
      </x:c>
      <x:c r="C9" s="56" t="s">
        <x:v>67</x:v>
      </x:c>
      <x:c r="D9" s="56" t="s">
        <x:v>69</x:v>
      </x:c>
      <x:c r="E9" s="56">
        <x:v>150</x:v>
      </x:c>
      <x:c r="F9" s="56">
        <x:v>100</x:v>
      </x:c>
      <x:c r="G9" s="56" t="s">
        <x:v>68</x:v>
      </x:c>
      <x:c r="H9" s="56"/>
    </x:row>
    <x:row r="10" ht="64" customHeight="1">
      <x:c r="A10" s="56">
        <x:v>6</x:v>
      </x:c>
      <x:c r="B10" s="56" t="s">
        <x:v>70</x:v>
      </x:c>
      <x:c r="C10" s="56" t="s">
        <x:v>71</x:v>
      </x:c>
      <x:c r="D10" s="56" t="s">
        <x:v>72</x:v>
      </x:c>
      <x:c r="E10" s="56">
        <x:v>180</x:v>
      </x:c>
      <x:c r="F10" s="56">
        <x:v>100</x:v>
      </x:c>
      <x:c r="G10" s="56" t="s">
        <x:v>68</x:v>
      </x:c>
      <x:c r="H10" s="56"/>
    </x:row>
    <x:row r="11" ht="64" customHeight="1">
      <x:c r="A11" s="56">
        <x:v>7</x:v>
      </x:c>
      <x:c r="B11" s="56" t="s">
        <x:v>73</x:v>
      </x:c>
      <x:c r="C11" s="56" t="s">
        <x:v>74</x:v>
      </x:c>
      <x:c r="D11" s="56" t="s">
        <x:v>75</x:v>
      </x:c>
      <x:c r="E11" s="56">
        <x:v>165</x:v>
      </x:c>
      <x:c r="F11" s="56">
        <x:v>100</x:v>
      </x:c>
      <x:c r="G11" s="56" t="s">
        <x:v>68</x:v>
      </x:c>
      <x:c r="H11" s="56"/>
    </x:row>
  </x:sheetData>
  <x:mergeCells>
    <x:mergeCell ref="A1:H2"/>
  </x:mergeCells>
  <x:conditionalFormatting sqref="H5:H5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6:H6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7:H7">
    <x:cfRule type="colorScale" priority="3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8:H8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18" customWidth="1"/>
    <x:col min="3" max="3" width="14" customWidth="1"/>
    <x:col min="4" max="4" width="13" customWidth="1"/>
    <x:col min="5" max="5" width="18" customWidth="1"/>
    <x:col min="6" max="7" width="34" customWidth="1"/>
    <x:col min="8" max="8" width="38" customWidth="1"/>
  </x:cols>
  <x:sheetData>
    <x:row r="1">
      <x:c r="A1" s="102" t="s">
        <x:v>268</x:v>
      </x:c>
      <x:c r="B1" s="102"/>
      <x:c r="C1" s="102"/>
      <x:c r="D1" s="102"/>
      <x:c r="E1" s="102"/>
      <x:c r="F1" s="102"/>
      <x:c r="G1" s="102"/>
      <x:c r="H1" s="102"/>
    </x:row>
    <x:row r="2">
      <x:c r="A2" s="102"/>
      <x:c r="B2" s="102"/>
      <x:c r="C2" s="102"/>
      <x:c r="D2" s="102"/>
      <x:c r="E2" s="102"/>
      <x:c r="F2" s="102"/>
      <x:c r="G2" s="102"/>
      <x:c r="H2" s="102"/>
    </x:row>
    <x:row r="3">
      <x:c r="A3" s="103" t="s">
        <x:v>269</x:v>
      </x:c>
      <x:c r="B3" s="103"/>
      <x:c r="C3" s="103"/>
      <x:c r="D3" s="103"/>
      <x:c r="E3" s="103"/>
      <x:c r="F3" s="103"/>
      <x:c r="G3" s="103"/>
      <x:c r="H3" s="103"/>
    </x:row>
    <x:row r="5" ht="16">
      <x:c r="A5" s="59" t="s">
        <x:v>232</x:v>
      </x:c>
      <x:c r="B5" s="59" t="s">
        <x:v>270</x:v>
      </x:c>
      <x:c r="C5" s="59" t="s">
        <x:v>271</x:v>
      </x:c>
      <x:c r="D5" s="59" t="s">
        <x:v>272</x:v>
      </x:c>
      <x:c r="E5" s="59" t="s">
        <x:v>273</x:v>
      </x:c>
      <x:c r="F5" s="59" t="s">
        <x:v>274</x:v>
      </x:c>
      <x:c r="G5" s="59" t="s">
        <x:v>275</x:v>
      </x:c>
      <x:c r="H5" s="59" t="s">
        <x:v>276</x:v>
      </x:c>
    </x:row>
    <x:row r="6" ht="117.25" customHeight="1">
      <x:c r="A6" s="60" t="s">
        <x:v>277</x:v>
      </x:c>
      <x:c r="B6" s="61">
        <x:v>20</x:v>
      </x:c>
      <x:c r="C6" s="61">
        <x:v>14</x:v>
      </x:c>
      <x:c r="D6" s="69">
        <x:v>70</x:v>
      </x:c>
      <x:c r="E6" s="61" t="s">
        <x:v>278</x:v>
      </x:c>
      <x:c r="F6" s="61" t="s">
        <x:v>279</x:v>
      </x:c>
      <x:c r="G6" s="61" t="s">
        <x:v>280</x:v>
      </x:c>
      <x:c r="H6" s="62" t="s">
        <x:v>281</x:v>
      </x:c>
    </x:row>
    <x:row r="7" ht="117.25" customHeight="1">
      <x:c r="A7" s="63" t="s">
        <x:v>282</x:v>
      </x:c>
      <x:c r="B7" s="64">
        <x:v>20</x:v>
      </x:c>
      <x:c r="C7" s="64">
        <x:v>2</x:v>
      </x:c>
      <x:c r="D7" s="70">
        <x:v>10</x:v>
      </x:c>
      <x:c r="E7" s="64" t="s">
        <x:v>283</x:v>
      </x:c>
      <x:c r="F7" s="64" t="s">
        <x:v>284</x:v>
      </x:c>
      <x:c r="G7" s="64" t="s">
        <x:v>285</x:v>
      </x:c>
      <x:c r="H7" s="65" t="s">
        <x:v>286</x:v>
      </x:c>
    </x:row>
    <x:row r="8" ht="117.25" customHeight="1">
      <x:c r="A8" s="63" t="s">
        <x:v>287</x:v>
      </x:c>
      <x:c r="B8" s="64">
        <x:v>20</x:v>
      </x:c>
      <x:c r="C8" s="64">
        <x:v>2.5</x:v>
      </x:c>
      <x:c r="D8" s="70">
        <x:v>12.5</x:v>
      </x:c>
      <x:c r="E8" s="64" t="s">
        <x:v>283</x:v>
      </x:c>
      <x:c r="F8" s="64" t="s">
        <x:v>288</x:v>
      </x:c>
      <x:c r="G8" s="64" t="s">
        <x:v>289</x:v>
      </x:c>
      <x:c r="H8" s="65" t="s">
        <x:v>290</x:v>
      </x:c>
    </x:row>
    <x:row r="9" ht="117.25" customHeight="1">
      <x:c r="A9" s="63" t="s">
        <x:v>291</x:v>
      </x:c>
      <x:c r="B9" s="64">
        <x:v>20</x:v>
      </x:c>
      <x:c r="C9" s="64">
        <x:v>5.25</x:v>
      </x:c>
      <x:c r="D9" s="70">
        <x:v>26.25</x:v>
      </x:c>
      <x:c r="E9" s="64" t="s">
        <x:v>292</x:v>
      </x:c>
      <x:c r="F9" s="64" t="s">
        <x:v>293</x:v>
      </x:c>
      <x:c r="G9" s="64" t="s">
        <x:v>294</x:v>
      </x:c>
      <x:c r="H9" s="65" t="s">
        <x:v>295</x:v>
      </x:c>
    </x:row>
    <x:row r="10" ht="117.25" customHeight="1">
      <x:c r="A10" s="66" t="s">
        <x:v>296</x:v>
      </x:c>
      <x:c r="B10" s="67">
        <x:v>20</x:v>
      </x:c>
      <x:c r="C10" s="67">
        <x:v>1</x:v>
      </x:c>
      <x:c r="D10" s="71">
        <x:v>5</x:v>
      </x:c>
      <x:c r="E10" s="67" t="s">
        <x:v>297</x:v>
      </x:c>
      <x:c r="F10" s="67" t="s">
        <x:v>298</x:v>
      </x:c>
      <x:c r="G10" s="67" t="s">
        <x:v>299</x:v>
      </x:c>
      <x:c r="H10" s="68" t="s">
        <x:v>300</x:v>
      </x:c>
    </x:row>
    <x:row r="12">
      <x:c r="A12" s="104" t="s">
        <x:v>301</x:v>
      </x:c>
      <x:c r="B12" s="104"/>
      <x:c r="C12" s="104"/>
      <x:c r="D12" s="104"/>
      <x:c r="E12" s="104"/>
      <x:c r="F12" s="104"/>
      <x:c r="G12" s="104"/>
      <x:c r="H12" s="104"/>
    </x:row>
    <x:row r="13" ht="19">
      <x:c r="A13" s="72" t="s">
        <x:v>302</x:v>
      </x:c>
      <x:c r="B13" s="76">
        <x:v>24.75</x:v>
      </x:c>
      <x:c r="D13" s="105" t="s">
        <x:v>303</x:v>
      </x:c>
      <x:c r="E13" s="106"/>
      <x:c r="F13" s="106"/>
      <x:c r="G13" s="106"/>
      <x:c r="H13" s="107"/>
    </x:row>
    <x:row r="14" ht="19">
      <x:c r="A14" s="73" t="s">
        <x:v>304</x:v>
      </x:c>
      <x:c r="B14" s="77">
        <x:v>0.8</x:v>
      </x:c>
      <x:c r="D14" s="108"/>
      <x:c r="E14" s="109"/>
      <x:c r="F14" s="109"/>
      <x:c r="G14" s="109"/>
      <x:c r="H14" s="110"/>
    </x:row>
    <x:row r="15" ht="19">
      <x:c r="A15" s="74" t="s">
        <x:v>305</x:v>
      </x:c>
      <x:c r="B15" s="75" t="s">
        <x:v>306</x:v>
      </x:c>
      <x:c r="D15" s="111"/>
      <x:c r="E15" s="112"/>
      <x:c r="F15" s="112"/>
      <x:c r="G15" s="112"/>
      <x:c r="H15" s="113"/>
    </x:row>
    <x:row r="17">
      <x:c r="A17" s="104" t="s">
        <x:v>307</x:v>
      </x:c>
      <x:c r="B17" s="104"/>
      <x:c r="C17" s="104"/>
      <x:c r="D17" s="104"/>
      <x:c r="E17" s="104"/>
      <x:c r="F17" s="104"/>
      <x:c r="G17" s="104"/>
      <x:c r="H17" s="104"/>
    </x:row>
    <x:row r="18" ht="72" customHeight="1">
      <x:c r="A18" s="78" t="s">
        <x:v>10</x:v>
      </x:c>
      <x:c r="B18" s="114" t="s">
        <x:v>308</x:v>
      </x:c>
      <x:c r="C18" s="115"/>
      <x:c r="D18" s="116" t="s">
        <x:v>309</x:v>
      </x:c>
      <x:c r="E18" s="117"/>
      <x:c r="F18" s="117"/>
      <x:c r="G18" s="117"/>
      <x:c r="H18" s="118"/>
    </x:row>
    <x:row r="19" ht="72" customHeight="1">
      <x:c r="A19" s="78" t="s">
        <x:v>13</x:v>
      </x:c>
      <x:c r="B19" s="114" t="s">
        <x:v>310</x:v>
      </x:c>
      <x:c r="C19" s="115"/>
      <x:c r="D19" s="116" t="s">
        <x:v>311</x:v>
      </x:c>
      <x:c r="E19" s="117"/>
      <x:c r="F19" s="117"/>
      <x:c r="G19" s="117"/>
      <x:c r="H19" s="118"/>
    </x:row>
    <x:row r="20" ht="72" customHeight="1">
      <x:c r="A20" s="78" t="s">
        <x:v>16</x:v>
      </x:c>
      <x:c r="B20" s="114" t="s">
        <x:v>312</x:v>
      </x:c>
      <x:c r="C20" s="115"/>
      <x:c r="D20" s="116" t="s">
        <x:v>313</x:v>
      </x:c>
      <x:c r="E20" s="117"/>
      <x:c r="F20" s="117"/>
      <x:c r="G20" s="117"/>
      <x:c r="H20" s="118"/>
    </x:row>
    <x:row r="21" ht="72" customHeight="1">
      <x:c r="A21" s="78" t="s">
        <x:v>19</x:v>
      </x:c>
      <x:c r="B21" s="114" t="s">
        <x:v>314</x:v>
      </x:c>
      <x:c r="C21" s="115"/>
      <x:c r="D21" s="116" t="s">
        <x:v>315</x:v>
      </x:c>
      <x:c r="E21" s="117"/>
      <x:c r="F21" s="117"/>
      <x:c r="G21" s="117"/>
      <x:c r="H21" s="118"/>
    </x:row>
    <x:row r="22" ht="72" customHeight="1">
      <x:c r="A22" s="78" t="s">
        <x:v>22</x:v>
      </x:c>
      <x:c r="B22" s="114" t="s">
        <x:v>316</x:v>
      </x:c>
      <x:c r="C22" s="115"/>
      <x:c r="D22" s="116" t="s">
        <x:v>317</x:v>
      </x:c>
      <x:c r="E22" s="117"/>
      <x:c r="F22" s="117"/>
      <x:c r="G22" s="117"/>
      <x:c r="H22" s="118"/>
    </x:row>
    <x:row r="24">
      <x:c r="A24" s="104" t="s">
        <x:v>318</x:v>
      </x:c>
      <x:c r="B24" s="104"/>
      <x:c r="C24" s="104"/>
      <x:c r="D24" s="104"/>
      <x:c r="E24" s="104"/>
      <x:c r="F24" s="104"/>
      <x:c r="G24" s="104"/>
      <x:c r="H24" s="104"/>
    </x:row>
    <x:row r="25" ht="16">
      <x:c r="A25" s="80" t="s">
        <x:v>34</x:v>
      </x:c>
      <x:c r="B25" s="119" t="s">
        <x:v>319</x:v>
      </x:c>
      <x:c r="C25" s="119"/>
      <x:c r="D25" s="81" t="s">
        <x:v>90</x:v>
      </x:c>
      <x:c r="E25" s="119" t="s">
        <x:v>320</x:v>
      </x:c>
      <x:c r="F25" s="119"/>
      <x:c r="G25" s="119"/>
      <x:c r="H25" s="120"/>
    </x:row>
    <x:row r="26" ht="61.25" customHeight="1">
      <x:c r="A26" s="79">
        <x:v>1</x:v>
      </x:c>
      <x:c r="B26" s="117" t="s">
        <x:v>321</x:v>
      </x:c>
      <x:c r="C26" s="121"/>
      <x:c r="D26" s="82" t="s">
        <x:v>100</x:v>
      </x:c>
      <x:c r="E26" s="117" t="s">
        <x:v>322</x:v>
      </x:c>
      <x:c r="F26" s="117"/>
      <x:c r="G26" s="117"/>
      <x:c r="H26" s="118"/>
    </x:row>
    <x:row r="27" ht="61.25" customHeight="1">
      <x:c r="A27" s="79">
        <x:v>2</x:v>
      </x:c>
      <x:c r="B27" s="117" t="s">
        <x:v>168</x:v>
      </x:c>
      <x:c r="C27" s="121"/>
      <x:c r="D27" s="82" t="s">
        <x:v>100</x:v>
      </x:c>
      <x:c r="E27" s="117" t="s">
        <x:v>323</x:v>
      </x:c>
      <x:c r="F27" s="117"/>
      <x:c r="G27" s="117"/>
      <x:c r="H27" s="118"/>
    </x:row>
    <x:row r="28" ht="61.25" customHeight="1">
      <x:c r="A28" s="79">
        <x:v>3</x:v>
      </x:c>
      <x:c r="B28" s="117" t="s">
        <x:v>324</x:v>
      </x:c>
      <x:c r="C28" s="121"/>
      <x:c r="D28" s="82" t="s">
        <x:v>100</x:v>
      </x:c>
      <x:c r="E28" s="117" t="s">
        <x:v>325</x:v>
      </x:c>
      <x:c r="F28" s="117"/>
      <x:c r="G28" s="117"/>
      <x:c r="H28" s="118"/>
    </x:row>
    <x:row r="29" ht="61.25" customHeight="1">
      <x:c r="A29" s="79">
        <x:v>4</x:v>
      </x:c>
      <x:c r="B29" s="117" t="s">
        <x:v>172</x:v>
      </x:c>
      <x:c r="C29" s="121"/>
      <x:c r="D29" s="82" t="s">
        <x:v>100</x:v>
      </x:c>
      <x:c r="E29" s="117" t="s">
        <x:v>326</x:v>
      </x:c>
      <x:c r="F29" s="117"/>
      <x:c r="G29" s="117"/>
      <x:c r="H29" s="118"/>
    </x:row>
    <x:row r="30" ht="61.25" customHeight="1">
      <x:c r="A30" s="79">
        <x:v>5</x:v>
      </x:c>
      <x:c r="B30" s="117" t="s">
        <x:v>327</x:v>
      </x:c>
      <x:c r="C30" s="121"/>
      <x:c r="D30" s="82" t="s">
        <x:v>100</x:v>
      </x:c>
      <x:c r="E30" s="117" t="s">
        <x:v>328</x:v>
      </x:c>
      <x:c r="F30" s="117"/>
      <x:c r="G30" s="117"/>
      <x:c r="H30" s="118"/>
    </x:row>
    <x:row r="31" ht="61.25" customHeight="1">
      <x:c r="A31" s="79">
        <x:v>6</x:v>
      </x:c>
      <x:c r="B31" s="117" t="s">
        <x:v>329</x:v>
      </x:c>
      <x:c r="C31" s="121"/>
      <x:c r="D31" s="82" t="s">
        <x:v>100</x:v>
      </x:c>
      <x:c r="E31" s="117" t="s">
        <x:v>330</x:v>
      </x:c>
      <x:c r="F31" s="117"/>
      <x:c r="G31" s="117"/>
      <x:c r="H31" s="118"/>
    </x:row>
    <x:row r="32" ht="61.25" customHeight="1">
      <x:c r="A32" s="79">
        <x:v>7</x:v>
      </x:c>
      <x:c r="B32" s="117" t="s">
        <x:v>331</x:v>
      </x:c>
      <x:c r="C32" s="122"/>
      <x:c r="D32" s="83" t="s">
        <x:v>131</x:v>
      </x:c>
      <x:c r="E32" s="117" t="s">
        <x:v>332</x:v>
      </x:c>
      <x:c r="F32" s="117"/>
      <x:c r="G32" s="117"/>
      <x:c r="H32" s="118"/>
    </x:row>
  </x:sheetData>
  <x:mergeCells>
    <x:mergeCell ref="B31:C31"/>
    <x:mergeCell ref="E31:H31"/>
    <x:mergeCell ref="B32:C32"/>
    <x:mergeCell ref="E32:H32"/>
    <x:mergeCell ref="B28:C28"/>
    <x:mergeCell ref="E28:H28"/>
    <x:mergeCell ref="B29:C29"/>
    <x:mergeCell ref="E29:H29"/>
    <x:mergeCell ref="B30:C30"/>
    <x:mergeCell ref="E30:H30"/>
    <x:mergeCell ref="B25:C25"/>
    <x:mergeCell ref="E25:H25"/>
    <x:mergeCell ref="B26:C26"/>
    <x:mergeCell ref="E26:H26"/>
    <x:mergeCell ref="B27:C27"/>
    <x:mergeCell ref="E27:H27"/>
    <x:mergeCell ref="A24:H24"/>
    <x:mergeCell ref="B18:C18"/>
    <x:mergeCell ref="D18:H18"/>
    <x:mergeCell ref="B19:C19"/>
    <x:mergeCell ref="D19:H19"/>
    <x:mergeCell ref="B20:C20"/>
    <x:mergeCell ref="D20:H20"/>
    <x:mergeCell ref="B21:C21"/>
    <x:mergeCell ref="D21:H21"/>
    <x:mergeCell ref="B22:C22"/>
    <x:mergeCell ref="D22:H22"/>
    <x:mergeCell ref="A1:H2"/>
    <x:mergeCell ref="A3:H3"/>
    <x:mergeCell ref="A12:H12"/>
    <x:mergeCell ref="D13:H15"/>
    <x:mergeCell ref="A17:H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38" hidden="0" customWidth="1"/>
    <x:col min="8" max="8" width="38" hidden="0" customWidth="1"/>
  </x:cols>
  <x:sheetData>
    <x:row r="1">
      <x:c r="A1" s="246" t="str">
        <x:v>ЭКЗАМЕН №2 · РАЗБОР И ДИАГНОСТИКА</x:v>
      </x:c>
      <x:c r="B1" s="246"/>
      <x:c r="C1" s="246"/>
      <x:c r="D1" s="246"/>
      <x:c r="E1" s="246"/>
      <x:c r="F1" s="246"/>
      <x:c r="G1" s="246"/>
      <x:c r="H1" s="246"/>
    </x:row>
    <x:row r="2">
      <x:c r="A2" s="246"/>
      <x:c r="B2" s="246"/>
      <x:c r="C2" s="246"/>
      <x:c r="D2" s="246"/>
      <x:c r="E2" s="246"/>
      <x:c r="F2" s="246"/>
      <x:c r="G2" s="246"/>
      <x:c r="H2" s="246"/>
    </x:row>
    <x:row r="3">
      <x:c r="A3" s="252" t="str">
        <x:v>Programming &amp; Automation · 18.08.2026 · строгая оценка baseline</x:v>
      </x:c>
      <x:c r="B3" s="252"/>
      <x:c r="C3" s="252"/>
      <x:c r="D3" s="252"/>
      <x:c r="E3" s="252"/>
      <x:c r="F3" s="252"/>
      <x:c r="G3" s="252"/>
      <x:c r="H3" s="252"/>
    </x:row>
    <x:row r="5">
      <x:c r="A5" s="260" t="str">
        <x:v>Блок</x:v>
      </x:c>
      <x:c r="B5" s="260" t="str">
        <x:v>Макс.</x:v>
      </x:c>
      <x:c r="C5" s="260" t="str">
        <x:v>Балл</x:v>
      </x:c>
      <x:c r="D5" s="260" t="str">
        <x:v>%</x:v>
      </x:c>
      <x:c r="E5" s="260" t="str">
        <x:v>Оценка</x:v>
      </x:c>
      <x:c r="F5" s="260" t="str">
        <x:v>Что получилось</x:v>
      </x:c>
      <x:c r="G5" s="260" t="str">
        <x:v>Главный пробел</x:v>
      </x:c>
      <x:c r="H5" s="260" t="str">
        <x:v>Диагностический вывод</x:v>
      </x:c>
    </x:row>
    <x:row r="6" ht="88" customHeight="1">
      <x:c r="A6" s="271" t="str">
        <x:v>A · Тест</x:v>
      </x:c>
      <x:c r="B6" s="272" t="n">
        <x:v>20</x:v>
      </x:c>
      <x:c r="C6" s="272" t="n">
        <x:v>17</x:v>
      </x:c>
      <x:c r="D6" s="292" t="n">
        <x:v>85</x:v>
      </x:c>
      <x:c r="E6" s="272" t="str">
        <x:v>Сильное узнавание</x:v>
      </x:c>
      <x:c r="F6" s="272" t="str">
        <x:v>Практически вся база Git/HTTP/SQL и большая часть Python/Bash распознаны верно.</x:v>
      </x:c>
      <x:c r="G6" s="272" t="str">
        <x:v>List/tuple, with open и $? не воспроизвелись в тесте.</x:v>
      </x:c>
      <x:c r="H6" s="273" t="str">
        <x:v>Терминология и общая база Programming заметно лучше, чем CS Fundamentals.</x:v>
      </x:c>
    </x:row>
    <x:row r="7" ht="88" customHeight="1">
      <x:c r="A7" s="274" t="str">
        <x:v>B · Короткие</x:v>
      </x:c>
      <x:c r="B7" s="275" t="n">
        <x:v>20</x:v>
      </x:c>
      <x:c r="C7" s="275" t="n">
        <x:v>14.8</x:v>
      </x:c>
      <x:c r="D7" s="293" t="n">
        <x:v>74</x:v>
      </x:c>
      <x:c r="E7" s="275" t="str">
        <x:v>Хорошо</x:v>
      </x:c>
      <x:c r="F7" s="275" t="str">
        <x:v>Функции, streaming files, Git workflow, HTTP request/response и exit codes объясняются своими словами.</x:v>
      </x:c>
      <x:c r="G7" s="275" t="str">
        <x:v>Не хватает точности list/tuple, &gt; vs &gt;&gt;, HAVING и reliability properties.</x:v>
      </x:c>
      <x:c r="H7" s="276" t="str">
        <x:v>Свободное воспроизведение уже есть; проблема не сводится к угадыванию.</x:v>
      </x:c>
    </x:row>
    <x:row r="8" ht="88" customHeight="1">
      <x:c r="A8" s="274" t="str">
        <x:v>C · Развернутые</x:v>
      </x:c>
      <x:c r="B8" s="275" t="n">
        <x:v>20</x:v>
      </x:c>
      <x:c r="C8" s="275" t="n">
        <x:v>11.8</x:v>
      </x:c>
      <x:c r="D8" s="293" t="n">
        <x:v>59</x:v>
      </x:c>
      <x:c r="E8" s="275" t="str">
        <x:v>Средне</x:v>
      </x:c>
      <x:c r="F8" s="275" t="str">
        <x:v>Можешь декомпозировать log parser, Git workflow и общий путь API→SQL.</x:v>
      </x:c>
      <x:c r="G8" s="275" t="str">
        <x:v>Идемпотентность/timeout поняты неточно; API persistence и partial failures раскрыты поверхностно.</x:v>
      </x:c>
      <x:c r="H8" s="276" t="str">
        <x:v>Инженерная логика присутствует, но механизмы надежности требуют систематизации.</x:v>
      </x:c>
    </x:row>
    <x:row r="9" ht="88" customHeight="1">
      <x:c r="A9" s="274" t="str">
        <x:v>D · Практика</x:v>
      </x:c>
      <x:c r="B9" s="275" t="n">
        <x:v>20</x:v>
      </x:c>
      <x:c r="C9" s="275" t="n">
        <x:v>8.3</x:v>
      </x:c>
      <x:c r="D9" s="293" t="n">
        <x:v>41.5</x:v>
      </x:c>
      <x:c r="E9" s="275" t="str">
        <x:v>Слабо</x:v>
      </x:c>
      <x:c r="F9" s="275" t="str">
        <x:v>Логика Python-фильтра, Bash pipeline и Git sequence угадывается правильно.</x:v>
      </x:c>
      <x:c r="G9" s="275" t="str">
        <x:v>Код/команды не воспроизводятся надежно; SQL-запрос практически не построен.</x:v>
      </x:c>
      <x:c r="H9" s="276" t="str">
        <x:v>Главный дефицит — hands-on синтаксис и автоматизм написания работающего решения.</x:v>
      </x:c>
    </x:row>
    <x:row r="10" ht="88" customHeight="1">
      <x:c r="A10" s="277" t="str">
        <x:v>E · Инженерный кейс</x:v>
      </x:c>
      <x:c r="B10" s="278" t="n">
        <x:v>20</x:v>
      </x:c>
      <x:c r="C10" s="278" t="n">
        <x:v>10.5</x:v>
      </x:c>
      <x:c r="D10" s="294" t="n">
        <x:v>52.5</x:v>
      </x:c>
      <x:c r="E10" s="278" t="str">
        <x:v>Средне</x:v>
      </x:c>
      <x:c r="F10" s="278" t="str">
        <x:v>Хорошая декомпозиция: cron, API, pagination, validation, DB, CSV, logs, secrets.</x:v>
      </x:c>
      <x:c r="G10" s="278" t="str">
        <x:v>Нет устойчивой модели UPSERT/unique key, atomic CSV, retry policy, partial-success exit semantics.</x:v>
      </x:c>
      <x:c r="H10" s="279" t="str">
        <x:v>Архитектурно мыслить можешь; эксплуатационная надежность пока требует практики.</x:v>
      </x:c>
    </x:row>
    <x:row r="12">
      <x:c r="A12" s="298" t="str">
        <x:v>Итог</x:v>
      </x:c>
      <x:c r="B12" s="298"/>
      <x:c r="C12" s="298"/>
      <x:c r="D12" s="298"/>
      <x:c r="E12" s="298"/>
      <x:c r="F12" s="298"/>
      <x:c r="G12" s="298"/>
      <x:c r="H12" s="298"/>
    </x:row>
    <x:row r="13">
      <x:c r="A13" s="302" t="str">
        <x:v>Итоговый балл</x:v>
      </x:c>
      <x:c r="B13" s="323" t="n">
        <x:v>62.4</x:v>
      </x:c>
      <x:c r="D13" s="346" t="str">
        <x:v>Главный вывод: в Programming &amp; Automation ты НЕ находишься у нуля. Есть рабочее понимание функций, файлов, Git, HTTP и общей архитектуры автоматизации. Но уровень 1.8/5 означает, что без документации и практики ты пока не можешь стабильно превратить эту логику в корректно работающий Python/Bash/SQL. Это именно тот разрыв, который лечится регулярным hands-on.</x:v>
      </x:c>
      <x:c r="E13" s="347"/>
      <x:c r="F13" s="347"/>
      <x:c r="G13" s="347"/>
      <x:c r="H13" s="348"/>
    </x:row>
    <x:row r="14">
      <x:c r="A14" s="303" t="str">
        <x:v>Подтвержденный общий ранг</x:v>
      </x:c>
      <x:c r="B14" s="325" t="n">
        <x:v>1.8</x:v>
      </x:c>
      <x:c r="D14" s="349"/>
      <x:c r="E14" s="350"/>
      <x:c r="F14" s="350"/>
      <x:c r="G14" s="350"/>
      <x:c r="H14" s="351"/>
    </x:row>
    <x:row r="15">
      <x:c r="A15" s="303" t="str">
        <x:v>Фактическое время</x:v>
      </x:c>
      <x:c r="B15" s="314" t="str">
        <x:v>147 мин из 150</x:v>
      </x:c>
      <x:c r="D15" s="349"/>
      <x:c r="E15" s="350"/>
      <x:c r="F15" s="350"/>
      <x:c r="G15" s="350"/>
      <x:c r="H15" s="351"/>
    </x:row>
    <x:row r="16">
      <x:c r="A16" s="304" t="str">
        <x:v>Средняя уверенность</x:v>
      </x:c>
      <x:c r="B16" s="315" t="str">
        <x:v>≈1.3 / 3</x:v>
      </x:c>
      <x:c r="D16" s="352"/>
      <x:c r="E16" s="353"/>
      <x:c r="F16" s="353"/>
      <x:c r="G16" s="353"/>
      <x:c r="H16" s="354"/>
    </x:row>
    <x:row r="18">
      <x:c r="A18" s="298" t="str">
        <x:v>Подтвержденные ранги по поднавыкам</x:v>
      </x:c>
      <x:c r="B18" s="298"/>
      <x:c r="C18" s="298"/>
      <x:c r="D18" s="298"/>
      <x:c r="E18" s="298"/>
      <x:c r="F18" s="298"/>
      <x:c r="G18" s="298"/>
      <x:c r="H18" s="298"/>
    </x:row>
    <x:row r="19">
      <x:c r="A19" s="260" t="str">
        <x:v>Навык</x:v>
      </x:c>
      <x:c r="B19" s="260" t="str">
        <x:v>Ранг 0–5</x:v>
      </x:c>
      <x:c r="C19" s="260" t="str">
        <x:v>Приоритет</x:v>
      </x:c>
      <x:c r="D19" s="260" t="str">
        <x:v>Комментарий</x:v>
      </x:c>
    </x:row>
    <x:row r="20" ht="42" customHeight="1">
      <x:c r="A20" s="401" t="str">
        <x:v>Python: syntax/data/functions</x:v>
      </x:c>
      <x:c r="B20" s="402" t="n">
        <x:v>1.5</x:v>
      </x:c>
      <x:c r="C20" s="402" t="str">
        <x:v>Высокий</x:v>
      </x:c>
      <x:c r="D20" s="403" t="str">
        <x:v>Логика есть, синтаксис и структуры нестабильны.</x:v>
      </x:c>
    </x:row>
    <x:row r="21" ht="42" customHeight="1">
      <x:c r="A21" s="404" t="str">
        <x:v>Python: files/exceptions</x:v>
      </x:c>
      <x:c r="B21" s="405" t="n">
        <x:v>1.6</x:v>
      </x:c>
      <x:c r="C21" s="405" t="str">
        <x:v>Высокий</x:v>
      </x:c>
      <x:c r="D21" s="406" t="str">
        <x:v>Streaming понятен; with/exception/logging требуют закрепления.</x:v>
      </x:c>
    </x:row>
    <x:row r="22" ht="42" customHeight="1">
      <x:c r="A22" s="404" t="str">
        <x:v>Bash / shell</x:v>
      </x:c>
      <x:c r="B22" s="405" t="n">
        <x:v>1.7</x:v>
      </x:c>
      <x:c r="C22" s="405" t="str">
        <x:v>Высокий</x:v>
      </x:c>
      <x:c r="D22" s="406" t="str">
        <x:v>Pipe/redirection/exit code понятны, команды пока приблизительные.</x:v>
      </x:c>
    </x:row>
    <x:row r="23" ht="42" customHeight="1">
      <x:c r="A23" s="404" t="str">
        <x:v>Git</x:v>
      </x:c>
      <x:c r="B23" s="405" t="n">
        <x:v>2.4</x:v>
      </x:c>
      <x:c r="C23" s="405" t="str">
        <x:v>Средний</x:v>
      </x:c>
      <x:c r="D23" s="406" t="str">
        <x:v>Самая сильная часть экзамена; нужен hands-on, а не повтор с нуля.</x:v>
      </x:c>
    </x:row>
    <x:row r="24" ht="42" customHeight="1">
      <x:c r="A24" s="404" t="str">
        <x:v>HTTP / REST API</x:v>
      </x:c>
      <x:c r="B24" s="405" t="n">
        <x:v>1.8</x:v>
      </x:c>
      <x:c r="C24" s="405" t="str">
        <x:v>Высокий</x:v>
      </x:c>
      <x:c r="D24" s="406" t="str">
        <x:v>Request/response понимаются; reliability/pagination требуют практики.</x:v>
      </x:c>
    </x:row>
    <x:row r="25" ht="42" customHeight="1">
      <x:c r="A25" s="404" t="str">
        <x:v>SQL</x:v>
      </x:c>
      <x:c r="B25" s="405" t="n">
        <x:v>1</x:v>
      </x:c>
      <x:c r="C25" s="405" t="str">
        <x:v>Критический</x:v>
      </x:c>
      <x:c r="D25" s="406" t="str">
        <x:v>Узнавание есть, самостоятельное построение запросов слабое.</x:v>
      </x:c>
    </x:row>
    <x:row r="26" ht="42" customHeight="1">
      <x:c r="A26" s="407" t="str">
        <x:v>Automation architecture</x:v>
      </x:c>
      <x:c r="B26" s="408" t="n">
        <x:v>1.7</x:v>
      </x:c>
      <x:c r="C26" s="408" t="str">
        <x:v>Высокий</x:v>
      </x:c>
      <x:c r="D26" s="409" t="str">
        <x:v>Декомпозиция хорошая, эксплуатационные гарантии поверхностны.</x:v>
      </x:c>
    </x:row>
    <x:row r="28">
      <x:c r="A28" s="298" t="str">
        <x:v>Ключевые диагностические сигналы</x:v>
      </x:c>
      <x:c r="B28" s="298"/>
      <x:c r="C28" s="298"/>
      <x:c r="D28" s="298"/>
      <x:c r="E28" s="298"/>
      <x:c r="F28" s="298"/>
      <x:c r="G28" s="298"/>
      <x:c r="H28" s="298"/>
    </x:row>
    <x:row r="29" ht="55" customHeight="1">
      <x:c r="A29" s="438" t="str">
        <x:v>1</x:v>
      </x:c>
      <x:c r="B29" s="448" t="str">
        <x:v>Логика сильнее синтаксиса</x:v>
      </x:c>
      <x:c r="C29" s="449"/>
      <x:c r="D29" s="462" t="str">
        <x:v>В D1 ты фактически придумал правильный алгоритм filter→unique, но не смог выразить его корректным Python. Это центральная проблема экзамена.</x:v>
      </x:c>
      <x:c r="E29" s="463"/>
      <x:c r="F29" s="463"/>
      <x:c r="G29" s="463"/>
      <x:c r="H29" s="464"/>
    </x:row>
    <x:row r="30" ht="55" customHeight="1">
      <x:c r="A30" s="438" t="str">
        <x:v>2</x:v>
      </x:c>
      <x:c r="B30" s="448" t="str">
        <x:v>Git уже является опорной точкой</x:v>
      </x:c>
      <x:c r="C30" s="449"/>
      <x:c r="D30" s="462" t="str">
        <x:v>Тесты, открытые ответы и C3 показывают рабочую ментальную модель Git. Здесь нужен опыт на реальных репозиториях, а не учеба с нуля.</x:v>
      </x:c>
      <x:c r="E30" s="463"/>
      <x:c r="F30" s="463"/>
      <x:c r="G30" s="463"/>
      <x:c r="H30" s="464"/>
    </x:row>
    <x:row r="31" ht="55" customHeight="1">
      <x:c r="A31" s="438" t="str">
        <x:v>3</x:v>
      </x:c>
      <x:c r="B31" s="448" t="str">
        <x:v>HTTP/API понимаются на уровне потока данных</x:v>
      </x:c>
      <x:c r="C31" s="449"/>
      <x:c r="D31" s="462" t="str">
        <x:v>Ты видишь method/auth/body/status/JSON и можешь встроить API в процесс, но пока не хватает pagination/retry/timeout/partial-failure patterns.</x:v>
      </x:c>
      <x:c r="E31" s="463"/>
      <x:c r="F31" s="463"/>
      <x:c r="G31" s="463"/>
      <x:c r="H31" s="464"/>
    </x:row>
    <x:row r="32" ht="55" customHeight="1">
      <x:c r="A32" s="438" t="str">
        <x:v>4</x:v>
      </x:c>
      <x:c r="B32" s="448" t="str">
        <x:v>SQL — самая слабая практическая область экзамена</x:v>
      </x:c>
      <x:c r="C32" s="449"/>
      <x:c r="D32" s="462" t="str">
        <x:v>A17–A19 распознаны, но D4 не собирается в GROUP BY→HAVING→ORDER BY. Это снова разрыв recognition→production.</x:v>
      </x:c>
      <x:c r="E32" s="463"/>
      <x:c r="F32" s="463"/>
      <x:c r="G32" s="463"/>
      <x:c r="H32" s="464"/>
    </x:row>
    <x:row r="33" ht="55" customHeight="1">
      <x:c r="A33" s="438" t="str">
        <x:v>5</x:v>
      </x:c>
      <x:c r="B33" s="448" t="str">
        <x:v>Инженерная декомпозиция присутствует</x:v>
      </x:c>
      <x:c r="C33" s="449"/>
      <x:c r="D33" s="462" t="str">
        <x:v>В большом кейсе ты сам выделил cron, API, pagination, validation, DB, report, logging и secrets. Это важное отличие от Exam 01.</x:v>
      </x:c>
      <x:c r="E33" s="463"/>
      <x:c r="F33" s="463"/>
      <x:c r="G33" s="463"/>
      <x:c r="H33" s="464"/>
    </x:row>
    <x:row r="34" ht="55" customHeight="1">
      <x:c r="A34" s="438" t="str">
        <x:v>6</x:v>
      </x:c>
      <x:c r="B34" s="448" t="str">
        <x:v>Reliability vocabulary есть, механизмы еще неточны</x:v>
      </x:c>
      <x:c r="C34" s="449"/>
      <x:c r="D34" s="462" t="str">
        <x:v>Retry/logging/exit codes понятны; idempotency и timeout интерпретированы неточно, atomic write и UPSERT не появились.</x:v>
      </x:c>
      <x:c r="E34" s="463"/>
      <x:c r="F34" s="463"/>
      <x:c r="G34" s="463"/>
      <x:c r="H34" s="464"/>
    </x:row>
    <x:row r="37">
      <x:c r="A37" s="298" t="str">
        <x:v>Проверка по каждому заданию</x:v>
      </x:c>
      <x:c r="B37" s="298"/>
      <x:c r="C37" s="298"/>
      <x:c r="D37" s="298"/>
      <x:c r="E37" s="298"/>
      <x:c r="F37" s="298"/>
      <x:c r="G37" s="298"/>
      <x:c r="H37" s="298"/>
    </x:row>
    <x:row r="38">
      <x:c r="A38" s="260" t="str">
        <x:v>Задание</x:v>
      </x:c>
      <x:c r="B38" s="260" t="str">
        <x:v>Балл</x:v>
      </x:c>
      <x:c r="C38" s="260" t="str">
        <x:v>Макс.</x:v>
      </x:c>
      <x:c r="D38" s="260" t="str">
        <x:v>%</x:v>
      </x:c>
      <x:c r="E38" s="260" t="str">
        <x:v>Вердикт</x:v>
      </x:c>
      <x:c r="F38" s="260" t="str">
        <x:v>Что засчитано</x:v>
      </x:c>
      <x:c r="G38" s="260" t="str">
        <x:v>Что исправить</x:v>
      </x:c>
      <x:c r="H38" s="260" t="str">
        <x:v>Комментарий</x:v>
      </x:c>
    </x:row>
    <x:row r="39" ht="44" customHeight="1">
      <x:c r="A39" s="271" t="str">
        <x:v>A1</x:v>
      </x:c>
      <x:c r="B39" s="272" t="n">
        <x:v>0</x:v>
      </x:c>
      <x:c r="C39" s="272" t="n">
        <x:v>1</x:v>
      </x:c>
      <x:c r="D39" s="474" t="n">
        <x:v>0</x:v>
      </x:c>
      <x:c r="E39" s="272" t="str">
        <x:v>Нет</x:v>
      </x:c>
      <x:c r="F39" s="272" t="str">
        <x:v>—</x:v>
      </x:c>
      <x:c r="G39" s="272" t="str">
        <x:v>list mutable; tuple immutable</x:v>
      </x:c>
      <x:c r="H39" s="273" t="str">
        <x:v>Базовое отличие не вспомнилось.</x:v>
      </x:c>
    </x:row>
    <x:row r="40" ht="44" customHeight="1">
      <x:c r="A40" s="274" t="str">
        <x:v>A2</x:v>
      </x:c>
      <x:c r="B40" s="275" t="n">
        <x:v>1</x:v>
      </x:c>
      <x:c r="C40" s="275" t="n">
        <x:v>1</x:v>
      </x:c>
      <x:c r="D40" s="475" t="n">
        <x:v>100</x:v>
      </x:c>
      <x:c r="E40" s="275" t="str">
        <x:v>Да</x:v>
      </x:c>
      <x:c r="F40" s="275" t="str">
        <x:v>set для уникальных значений</x:v>
      </x:c>
      <x:c r="G40" s="275" t="str">
        <x:v>—</x:v>
      </x:c>
      <x:c r="H40" s="276" t="str">
        <x:v>Верно.</x:v>
      </x:c>
    </x:row>
    <x:row r="41" ht="44" customHeight="1">
      <x:c r="A41" s="274" t="str">
        <x:v>A3</x:v>
      </x:c>
      <x:c r="B41" s="275" t="n">
        <x:v>1</x:v>
      </x:c>
      <x:c r="C41" s="275" t="n">
        <x:v>1</x:v>
      </x:c>
      <x:c r="D41" s="475" t="n">
        <x:v>100</x:v>
      </x:c>
      <x:c r="E41" s="275" t="str">
        <x:v>Да</x:v>
      </x:c>
      <x:c r="F41" s="275" t="str">
        <x:v>dict = key→value</x:v>
      </x:c>
      <x:c r="G41" s="275" t="str">
        <x:v>—</x:v>
      </x:c>
      <x:c r="H41" s="276" t="str">
        <x:v>Верно.</x:v>
      </x:c>
    </x:row>
    <x:row r="42" ht="44" customHeight="1">
      <x:c r="A42" s="274" t="str">
        <x:v>A4</x:v>
      </x:c>
      <x:c r="B42" s="275" t="n">
        <x:v>1</x:v>
      </x:c>
      <x:c r="C42" s="275" t="n">
        <x:v>1</x:v>
      </x:c>
      <x:c r="D42" s="475" t="n">
        <x:v>100</x:v>
      </x:c>
      <x:c r="E42" s="275" t="str">
        <x:v>Да</x:v>
      </x:c>
      <x:c r="F42" s="275" t="str">
        <x:v>len = 3</x:v>
      </x:c>
      <x:c r="G42" s="275" t="str">
        <x:v>—</x:v>
      </x:c>
      <x:c r="H42" s="276" t="str">
        <x:v>Верно.</x:v>
      </x:c>
    </x:row>
    <x:row r="43" ht="44" customHeight="1">
      <x:c r="A43" s="274" t="str">
        <x:v>A5</x:v>
      </x:c>
      <x:c r="B43" s="275" t="n">
        <x:v>1</x:v>
      </x:c>
      <x:c r="C43" s="275" t="n">
        <x:v>1</x:v>
      </x:c>
      <x:c r="D43" s="475" t="n">
        <x:v>100</x:v>
      </x:c>
      <x:c r="E43" s="275" t="str">
        <x:v>Да</x:v>
      </x:c>
      <x:c r="F43" s="275" t="str">
        <x:v>try/except</x:v>
      </x:c>
      <x:c r="G43" s="275" t="str">
        <x:v>—</x:v>
      </x:c>
      <x:c r="H43" s="276" t="str">
        <x:v>Верно.</x:v>
      </x:c>
    </x:row>
    <x:row r="44" ht="44" customHeight="1">
      <x:c r="A44" s="274" t="str">
        <x:v>A6</x:v>
      </x:c>
      <x:c r="B44" s="275" t="n">
        <x:v>1</x:v>
      </x:c>
      <x:c r="C44" s="275" t="n">
        <x:v>1</x:v>
      </x:c>
      <x:c r="D44" s="475" t="n">
        <x:v>100</x:v>
      </x:c>
      <x:c r="E44" s="275" t="str">
        <x:v>Да</x:v>
      </x:c>
      <x:c r="F44" s="275" t="str">
        <x:v>streaming/postrочно</x:v>
      </x:c>
      <x:c r="G44" s="275" t="str">
        <x:v>—</x:v>
      </x:c>
      <x:c r="H44" s="276" t="str">
        <x:v>Верно.</x:v>
      </x:c>
    </x:row>
    <x:row r="45" ht="44" customHeight="1">
      <x:c r="A45" s="274" t="str">
        <x:v>A7</x:v>
      </x:c>
      <x:c r="B45" s="275" t="n">
        <x:v>0</x:v>
      </x:c>
      <x:c r="C45" s="275" t="n">
        <x:v>1</x:v>
      </x:c>
      <x:c r="D45" s="475" t="n">
        <x:v>0</x:v>
      </x:c>
      <x:c r="E45" s="275" t="str">
        <x:v>Нет</x:v>
      </x:c>
      <x:c r="F45" s="275" t="str">
        <x:v>—</x:v>
      </x:c>
      <x:c r="G45" s="275" t="str">
        <x:v>with управляет ресурсом и закрывает файл</x:v>
      </x:c>
      <x:c r="H45" s="276" t="str">
        <x:v>Контекстный менеджер не вспомнился.</x:v>
      </x:c>
    </x:row>
    <x:row r="46" ht="44" customHeight="1">
      <x:c r="A46" s="274" t="str">
        <x:v>A8</x:v>
      </x:c>
      <x:c r="B46" s="275" t="n">
        <x:v>1</x:v>
      </x:c>
      <x:c r="C46" s="275" t="n">
        <x:v>1</x:v>
      </x:c>
      <x:c r="D46" s="475" t="n">
        <x:v>100</x:v>
      </x:c>
      <x:c r="E46" s="275" t="str">
        <x:v>Да</x:v>
      </x:c>
      <x:c r="F46" s="275" t="str">
        <x:v>Сравнение значений через ==; is — identity</x:v>
      </x:c>
      <x:c r="G46" s="275" t="str">
        <x:v>—</x:v>
      </x:c>
      <x:c r="H46" s="276" t="str">
        <x:v>Верно.</x:v>
      </x:c>
    </x:row>
    <x:row r="47" ht="44" customHeight="1">
      <x:c r="A47" s="274" t="str">
        <x:v>A9</x:v>
      </x:c>
      <x:c r="B47" s="275" t="n">
        <x:v>1</x:v>
      </x:c>
      <x:c r="C47" s="275" t="n">
        <x:v>1</x:v>
      </x:c>
      <x:c r="D47" s="475" t="n">
        <x:v>100</x:v>
      </x:c>
      <x:c r="E47" s="275" t="str">
        <x:v>Да</x:v>
      </x:c>
      <x:c r="F47" s="275" t="str">
        <x:v>stdout→stdin через pipe</x:v>
      </x:c>
      <x:c r="G47" s="275" t="str">
        <x:v>—</x:v>
      </x:c>
      <x:c r="H47" s="276" t="str">
        <x:v>Верно.</x:v>
      </x:c>
    </x:row>
    <x:row r="48" ht="44" customHeight="1">
      <x:c r="A48" s="274" t="str">
        <x:v>A10</x:v>
      </x:c>
      <x:c r="B48" s="275" t="n">
        <x:v>1</x:v>
      </x:c>
      <x:c r="C48" s="275" t="n">
        <x:v>1</x:v>
      </x:c>
      <x:c r="D48" s="475" t="n">
        <x:v>100</x:v>
      </x:c>
      <x:c r="E48" s="275" t="str">
        <x:v>Да</x:v>
      </x:c>
      <x:c r="F48" s="275" t="str">
        <x:v>&gt; перезаписывает stdout в файл</x:v>
      </x:c>
      <x:c r="G48" s="275" t="str">
        <x:v>—</x:v>
      </x:c>
      <x:c r="H48" s="276" t="str">
        <x:v>Верно.</x:v>
      </x:c>
    </x:row>
    <x:row r="49" ht="44" customHeight="1">
      <x:c r="A49" s="274" t="str">
        <x:v>A11</x:v>
      </x:c>
      <x:c r="B49" s="275" t="n">
        <x:v>0</x:v>
      </x:c>
      <x:c r="C49" s="275" t="n">
        <x:v>1</x:v>
      </x:c>
      <x:c r="D49" s="475" t="n">
        <x:v>0</x:v>
      </x:c>
      <x:c r="E49" s="275" t="str">
        <x:v>Нет</x:v>
      </x:c>
      <x:c r="F49" s="275" t="str">
        <x:v>—</x:v>
      </x:c>
      <x:c r="G49" s="275" t="str">
        <x:v>$? = exit code последней команды</x:v>
      </x:c>
      <x:c r="H49" s="276" t="str">
        <x:v>Позже в B5 ты это уже вспомнил самостоятельно.</x:v>
      </x:c>
    </x:row>
    <x:row r="50" ht="44" customHeight="1">
      <x:c r="A50" s="274" t="str">
        <x:v>A12</x:v>
      </x:c>
      <x:c r="B50" s="275" t="n">
        <x:v>1</x:v>
      </x:c>
      <x:c r="C50" s="275" t="n">
        <x:v>1</x:v>
      </x:c>
      <x:c r="D50" s="475" t="n">
        <x:v>100</x:v>
      </x:c>
      <x:c r="E50" s="275" t="str">
        <x:v>Да</x:v>
      </x:c>
      <x:c r="F50" s="275" t="str">
        <x:v>git add → staging</x:v>
      </x:c>
      <x:c r="G50" s="275" t="str">
        <x:v>—</x:v>
      </x:c>
      <x:c r="H50" s="276" t="str">
        <x:v>Верно.</x:v>
      </x:c>
    </x:row>
    <x:row r="51" ht="44" customHeight="1">
      <x:c r="A51" s="274" t="str">
        <x:v>A13</x:v>
      </x:c>
      <x:c r="B51" s="275" t="n">
        <x:v>1</x:v>
      </x:c>
      <x:c r="C51" s="275" t="n">
        <x:v>1</x:v>
      </x:c>
      <x:c r="D51" s="475" t="n">
        <x:v>100</x:v>
      </x:c>
      <x:c r="E51" s="275" t="str">
        <x:v>Да</x:v>
      </x:c>
      <x:c r="F51" s="275" t="str">
        <x:v>commit = local snapshot</x:v>
      </x:c>
      <x:c r="G51" s="275" t="str">
        <x:v>—</x:v>
      </x:c>
      <x:c r="H51" s="276" t="str">
        <x:v>Верно.</x:v>
      </x:c>
    </x:row>
    <x:row r="52" ht="44" customHeight="1">
      <x:c r="A52" s="274" t="str">
        <x:v>A14</x:v>
      </x:c>
      <x:c r="B52" s="275" t="n">
        <x:v>1</x:v>
      </x:c>
      <x:c r="C52" s="275" t="n">
        <x:v>1</x:v>
      </x:c>
      <x:c r="D52" s="475" t="n">
        <x:v>100</x:v>
      </x:c>
      <x:c r="E52" s="275" t="str">
        <x:v>Да</x:v>
      </x:c>
      <x:c r="F52" s="275" t="str">
        <x:v>merge conflict</x:v>
      </x:c>
      <x:c r="G52" s="275" t="str">
        <x:v>—</x:v>
      </x:c>
      <x:c r="H52" s="276" t="str">
        <x:v>Верно.</x:v>
      </x:c>
    </x:row>
    <x:row r="53" ht="44" customHeight="1">
      <x:c r="A53" s="274" t="str">
        <x:v>A15</x:v>
      </x:c>
      <x:c r="B53" s="275" t="n">
        <x:v>1</x:v>
      </x:c>
      <x:c r="C53" s="275" t="n">
        <x:v>1</x:v>
      </x:c>
      <x:c r="D53" s="475" t="n">
        <x:v>100</x:v>
      </x:c>
      <x:c r="E53" s="275" t="str">
        <x:v>Да</x:v>
      </x:c>
      <x:c r="F53" s="275" t="str">
        <x:v>GET</x:v>
      </x:c>
      <x:c r="G53" s="275" t="str">
        <x:v>—</x:v>
      </x:c>
      <x:c r="H53" s="276" t="str">
        <x:v>Верно.</x:v>
      </x:c>
    </x:row>
    <x:row r="54" ht="44" customHeight="1">
      <x:c r="A54" s="274" t="str">
        <x:v>A16</x:v>
      </x:c>
      <x:c r="B54" s="275" t="n">
        <x:v>1</x:v>
      </x:c>
      <x:c r="C54" s="275" t="n">
        <x:v>1</x:v>
      </x:c>
      <x:c r="D54" s="475" t="n">
        <x:v>100</x:v>
      </x:c>
      <x:c r="E54" s="275" t="str">
        <x:v>Да</x:v>
      </x:c>
      <x:c r="F54" s="275" t="str">
        <x:v>4xx</x:v>
      </x:c>
      <x:c r="G54" s="275" t="str">
        <x:v>—</x:v>
      </x:c>
      <x:c r="H54" s="276" t="str">
        <x:v>Верно.</x:v>
      </x:c>
    </x:row>
    <x:row r="55" ht="44" customHeight="1">
      <x:c r="A55" s="274" t="str">
        <x:v>A17</x:v>
      </x:c>
      <x:c r="B55" s="275" t="n">
        <x:v>1</x:v>
      </x:c>
      <x:c r="C55" s="275" t="n">
        <x:v>1</x:v>
      </x:c>
      <x:c r="D55" s="475" t="n">
        <x:v>100</x:v>
      </x:c>
      <x:c r="E55" s="275" t="str">
        <x:v>Да</x:v>
      </x:c>
      <x:c r="F55" s="275" t="str">
        <x:v>WHERE</x:v>
      </x:c>
      <x:c r="G55" s="275" t="str">
        <x:v>—</x:v>
      </x:c>
      <x:c r="H55" s="276" t="str">
        <x:v>Верно.</x:v>
      </x:c>
    </x:row>
    <x:row r="56" ht="44" customHeight="1">
      <x:c r="A56" s="274" t="str">
        <x:v>A18</x:v>
      </x:c>
      <x:c r="B56" s="275" t="n">
        <x:v>1</x:v>
      </x:c>
      <x:c r="C56" s="275" t="n">
        <x:v>1</x:v>
      </x:c>
      <x:c r="D56" s="475" t="n">
        <x:v>100</x:v>
      </x:c>
      <x:c r="E56" s="275" t="str">
        <x:v>Да</x:v>
      </x:c>
      <x:c r="F56" s="275" t="str">
        <x:v>INNER JOIN</x:v>
      </x:c>
      <x:c r="G56" s="275" t="str">
        <x:v>—</x:v>
      </x:c>
      <x:c r="H56" s="276" t="str">
        <x:v>Верно.</x:v>
      </x:c>
    </x:row>
    <x:row r="57" ht="44" customHeight="1">
      <x:c r="A57" s="274" t="str">
        <x:v>A19</x:v>
      </x:c>
      <x:c r="B57" s="275" t="n">
        <x:v>1</x:v>
      </x:c>
      <x:c r="C57" s="275" t="n">
        <x:v>1</x:v>
      </x:c>
      <x:c r="D57" s="475" t="n">
        <x:v>100</x:v>
      </x:c>
      <x:c r="E57" s="275" t="str">
        <x:v>Да</x:v>
      </x:c>
      <x:c r="F57" s="275" t="str">
        <x:v>COUNT</x:v>
      </x:c>
      <x:c r="G57" s="275" t="str">
        <x:v>—</x:v>
      </x:c>
      <x:c r="H57" s="276" t="str">
        <x:v>Верно.</x:v>
      </x:c>
    </x:row>
    <x:row r="58" ht="44" customHeight="1">
      <x:c r="A58" s="274" t="str">
        <x:v>A20</x:v>
      </x:c>
      <x:c r="B58" s="275" t="n">
        <x:v>1</x:v>
      </x:c>
      <x:c r="C58" s="275" t="n">
        <x:v>1</x:v>
      </x:c>
      <x:c r="D58" s="475" t="n">
        <x:v>100</x:v>
      </x:c>
      <x:c r="E58" s="275" t="str">
        <x:v>Да</x:v>
      </x:c>
      <x:c r="F58" s="275" t="str">
        <x:v>идемпотентность как отсутствие накопления побочных эффектов</x:v>
      </x:c>
      <x:c r="G58" s="275" t="str">
        <x:v>—</x:v>
      </x:c>
      <x:c r="H58" s="276" t="str">
        <x:v>Верный вариант выбран.</x:v>
      </x:c>
    </x:row>
    <x:row r="59" ht="44" customHeight="1">
      <x:c r="A59" s="274" t="str">
        <x:v>B1</x:v>
      </x:c>
      <x:c r="B59" s="275" t="n">
        <x:v>0.8</x:v>
      </x:c>
      <x:c r="C59" s="275" t="n">
        <x:v>2</x:v>
      </x:c>
      <x:c r="D59" s="475" t="n">
        <x:v>40</x:v>
      </x:c>
      <x:c r="E59" s="275" t="str">
        <x:v>Частично</x:v>
      </x:c>
      <x:c r="F59" s="275" t="str">
        <x:v>set/dict и их use cases</x:v>
      </x:c>
      <x:c r="G59" s="275" t="str">
        <x:v>list/tuple не раскрыты; set — не массив</x:v>
      </x:c>
      <x:c r="H59" s="276" t="str">
        <x:v>Фрагментарная база типов.</x:v>
      </x:c>
    </x:row>
    <x:row r="60" ht="44" customHeight="1">
      <x:c r="A60" s="274" t="str">
        <x:v>B2</x:v>
      </x:c>
      <x:c r="B60" s="275" t="n">
        <x:v>1.8</x:v>
      </x:c>
      <x:c r="C60" s="275" t="n">
        <x:v>2</x:v>
      </x:c>
      <x:c r="D60" s="475" t="n">
        <x:v>90</x:v>
      </x:c>
      <x:c r="E60" s="275" t="str">
        <x:v>Почти</x:v>
      </x:c>
      <x:c r="F60" s="275" t="str">
        <x:v>function/params/return/local vars</x:v>
      </x:c>
      <x:c r="G60" s="275" t="str">
        <x:v>Функция не обязательно «алгоритм»</x:v>
      </x:c>
      <x:c r="H60" s="276" t="str">
        <x:v>Рабочее понимание.</x:v>
      </x:c>
    </x:row>
    <x:row r="61" ht="44" customHeight="1">
      <x:c r="A61" s="274" t="str">
        <x:v>B3</x:v>
      </x:c>
      <x:c r="B61" s="275" t="n">
        <x:v>2</x:v>
      </x:c>
      <x:c r="C61" s="275" t="n">
        <x:v>2</x:v>
      </x:c>
      <x:c r="D61" s="475" t="n">
        <x:v>100</x:v>
      </x:c>
      <x:c r="E61" s="275" t="str">
        <x:v>Да</x:v>
      </x:c>
      <x:c r="F61" s="275" t="str">
        <x:v>построчная обработка и экономия RAM</x:v>
      </x:c>
      <x:c r="G61" s="275" t="str">
        <x:v>—</x:v>
      </x:c>
      <x:c r="H61" s="276" t="str">
        <x:v>Полностью по сути.</x:v>
      </x:c>
    </x:row>
    <x:row r="62" ht="44" customHeight="1">
      <x:c r="A62" s="274" t="str">
        <x:v>B4</x:v>
      </x:c>
      <x:c r="B62" s="275" t="n">
        <x:v>1.3</x:v>
      </x:c>
      <x:c r="C62" s="275" t="n">
        <x:v>2</x:v>
      </x:c>
      <x:c r="D62" s="475" t="n">
        <x:v>65</x:v>
      </x:c>
      <x:c r="E62" s="275" t="str">
        <x:v>Частично</x:v>
      </x:c>
      <x:c r="F62" s="275" t="str">
        <x:v>stdout/stderr, pipe, redirection</x:v>
      </x:c>
      <x:c r="G62" s="275" t="str">
        <x:v>stdout не только «успех»; &gt; overwrite, &gt;&gt; append</x:v>
      </x:c>
      <x:c r="H62" s="276" t="str">
        <x:v>Pipe объяснен хорошо.</x:v>
      </x:c>
    </x:row>
    <x:row r="63" ht="44" customHeight="1">
      <x:c r="A63" s="274" t="str">
        <x:v>B5</x:v>
      </x:c>
      <x:c r="B63" s="275" t="n">
        <x:v>1.6</x:v>
      </x:c>
      <x:c r="C63" s="275" t="n">
        <x:v>2</x:v>
      </x:c>
      <x:c r="D63" s="475" t="n">
        <x:v>80</x:v>
      </x:c>
      <x:c r="E63" s="275" t="str">
        <x:v>Хорошо</x:v>
      </x:c>
      <x:c r="F63" s="275" t="str">
        <x:v>0/nonzero exit codes, $?, CI/shell use</x:v>
      </x:c>
      <x:c r="G63" s="275" t="str">
        <x:v>cron сам по себе не restart policy; nonzero не обязательно 1</x:v>
      </x:c>
      <x:c r="H63" s="276" t="str">
        <x:v>Хорошее ядро ответа.</x:v>
      </x:c>
    </x:row>
    <x:row r="64" ht="44" customHeight="1">
      <x:c r="A64" s="274" t="str">
        <x:v>B6</x:v>
      </x:c>
      <x:c r="B64" s="275" t="n">
        <x:v>1.8</x:v>
      </x:c>
      <x:c r="C64" s="275" t="n">
        <x:v>2</x:v>
      </x:c>
      <x:c r="D64" s="475" t="n">
        <x:v>90</x:v>
      </x:c>
      <x:c r="E64" s="275" t="str">
        <x:v>Почти</x:v>
      </x:c>
      <x:c r="F64" s="275" t="str">
        <x:v>working→stage→commit→push</x:v>
      </x:c>
      <x:c r="G64" s="275" t="str">
        <x:v>git add stage current changes, не будущие изменения</x:v>
      </x:c>
      <x:c r="H64" s="276" t="str">
        <x:v>Модель Git рабочая.</x:v>
      </x:c>
    </x:row>
    <x:row r="65" ht="44" customHeight="1">
      <x:c r="A65" s="274" t="str">
        <x:v>B7</x:v>
      </x:c>
      <x:c r="B65" s="275" t="n">
        <x:v>1.8</x:v>
      </x:c>
      <x:c r="C65" s="275" t="n">
        <x:v>2</x:v>
      </x:c>
      <x:c r="D65" s="475" t="n">
        <x:v>90</x:v>
      </x:c>
      <x:c r="E65" s="275" t="str">
        <x:v>Почти</x:v>
      </x:c>
      <x:c r="F65" s="275" t="str">
        <x:v>branches, feature flow, merge/conflicts</x:v>
      </x:c>
      <x:c r="G65" s="275" t="str">
        <x:v>Конфликт часто требует ручного resolution</x:v>
      </x:c>
      <x:c r="H65" s="276" t="str">
        <x:v>Сильный ответ.</x:v>
      </x:c>
    </x:row>
    <x:row r="66" ht="44" customHeight="1">
      <x:c r="A66" s="274" t="str">
        <x:v>B8</x:v>
      </x:c>
      <x:c r="B66" s="275" t="n">
        <x:v>1.7</x:v>
      </x:c>
      <x:c r="C66" s="275" t="n">
        <x:v>2</x:v>
      </x:c>
      <x:c r="D66" s="475" t="n">
        <x:v>85</x:v>
      </x:c>
      <x:c r="E66" s="275" t="str">
        <x:v>Хорошо</x:v>
      </x:c>
      <x:c r="F66" s="275" t="str">
        <x:v>methods, headers, bearer, body, status</x:v>
      </x:c>
      <x:c r="G66" s="275" t="str">
        <x:v>403 = Forbidden/authorization; URL отдельно важен</x:v>
      </x:c>
      <x:c r="H66" s="276" t="str">
        <x:v>REST-модель в целом есть.</x:v>
      </x:c>
    </x:row>
    <x:row r="67" ht="44" customHeight="1">
      <x:c r="A67" s="274" t="str">
        <x:v>B9</x:v>
      </x:c>
      <x:c r="B67" s="275" t="n">
        <x:v>1.2</x:v>
      </x:c>
      <x:c r="C67" s="275" t="n">
        <x:v>2</x:v>
      </x:c>
      <x:c r="D67" s="475" t="n">
        <x:v>60</x:v>
      </x:c>
      <x:c r="E67" s="275" t="str">
        <x:v>Частично</x:v>
      </x:c>
      <x:c r="F67" s="275" t="str">
        <x:v>WHERE и GROUP BY</x:v>
      </x:c>
      <x:c r="G67" s="275" t="str">
        <x:v>HAVING фильтрует группы после агрегации</x:v>
      </x:c>
      <x:c r="H67" s="276" t="str">
        <x:v>SQL-модель неполная.</x:v>
      </x:c>
    </x:row>
    <x:row r="68" ht="44" customHeight="1">
      <x:c r="A68" s="274" t="str">
        <x:v>B10</x:v>
      </x:c>
      <x:c r="B68" s="275" t="n">
        <x:v>0.8</x:v>
      </x:c>
      <x:c r="C68" s="275" t="n">
        <x:v>2</x:v>
      </x:c>
      <x:c r="D68" s="475" t="n">
        <x:v>40</x:v>
      </x:c>
      <x:c r="E68" s="275" t="str">
        <x:v>Слабо</x:v>
      </x:c>
      <x:c r="F68" s="275" t="str">
        <x:v>идея отказоустойчивости/диагностики</x:v>
      </x:c>
      <x:c r="G68" s="275" t="str">
        <x:v>нужны idempotency, logs, timeouts, retries, validation, exit codes</x:v>
      </x:c>
      <x:c r="H68" s="276" t="str">
        <x:v>Слишком общо.</x:v>
      </x:c>
    </x:row>
    <x:row r="69" ht="44" customHeight="1">
      <x:c r="A69" s="274" t="str">
        <x:v>C1</x:v>
      </x:c>
      <x:c r="B69" s="275" t="n">
        <x:v>2.7</x:v>
      </x:c>
      <x:c r="C69" s="275" t="n">
        <x:v>5</x:v>
      </x:c>
      <x:c r="D69" s="475" t="n">
        <x:v>54</x:v>
      </x:c>
      <x:c r="E69" s="275" t="str">
        <x:v>Средне</x:v>
      </x:c>
      <x:c r="F69" s="275" t="str">
        <x:v>streaming, parser function, intermediate results</x:v>
      </x:c>
      <x:c r="G69" s="275" t="str">
        <x:v>exceptions/logging/modules и структуры результата</x:v>
      </x:c>
      <x:c r="H69" s="276" t="str">
        <x:v>Декомпозиция есть.</x:v>
      </x:c>
    </x:row>
    <x:row r="70" ht="44" customHeight="1">
      <x:c r="A70" s="274" t="str">
        <x:v>C2</x:v>
      </x:c>
      <x:c r="B70" s="275" t="n">
        <x:v>2.8</x:v>
      </x:c>
      <x:c r="C70" s="275" t="n">
        <x:v>5</x:v>
      </x:c>
      <x:c r="D70" s="475" t="n">
        <x:v>56</x:v>
      </x:c>
      <x:c r="E70" s="275" t="str">
        <x:v>Средне</x:v>
      </x:c>
      <x:c r="F70" s="275" t="str">
        <x:v>retry, logging, exit codes</x:v>
      </x:c>
      <x:c r="G70" s="275" t="str">
        <x:v>idempotency и timeout поняты неточно</x:v>
      </x:c>
      <x:c r="H70" s="276" t="str">
        <x:v>Timeout — предел ожидания, не sleep.</x:v>
      </x:c>
    </x:row>
    <x:row r="71" ht="44" customHeight="1">
      <x:c r="A71" s="274" t="str">
        <x:v>C3</x:v>
      </x:c>
      <x:c r="B71" s="275" t="n">
        <x:v>4</x:v>
      </x:c>
      <x:c r="C71" s="275" t="n">
        <x:v>5</x:v>
      </x:c>
      <x:c r="D71" s="475" t="n">
        <x:v>80</x:v>
      </x:c>
      <x:c r="E71" s="275" t="str">
        <x:v>Хорошо</x:v>
      </x:c>
      <x:c r="F71" s="275" t="str">
        <x:v>pull→branch→edit→add→commit→PR→review→merge</x:v>
      </x:c>
      <x:c r="G71" s="275" t="str">
        <x:v>push, bugfix after merge, conflict resolution подробнее</x:v>
      </x:c>
      <x:c r="H71" s="276" t="str">
        <x:v>Сильнейший развернутый ответ.</x:v>
      </x:c>
    </x:row>
    <x:row r="72" ht="44" customHeight="1">
      <x:c r="A72" s="274" t="str">
        <x:v>C4</x:v>
      </x:c>
      <x:c r="B72" s="275" t="n">
        <x:v>2.3</x:v>
      </x:c>
      <x:c r="C72" s="275" t="n">
        <x:v>5</x:v>
      </x:c>
      <x:c r="D72" s="475" t="n">
        <x:v>46</x:v>
      </x:c>
      <x:c r="E72" s="275" t="str">
        <x:v>Слабо-средне</x:v>
      </x:c>
      <x:c r="F72" s="275" t="str">
        <x:v>auth→status→JSON→transform→SQL</x:v>
      </x:c>
      <x:c r="G72" s="275" t="str">
        <x:v>pagination, upsert, duplicates, partial failure; GET body</x:v>
      </x:c>
      <x:c r="H72" s="276" t="str">
        <x:v>Путь данных видишь, эксплуатация пока нет.</x:v>
      </x:c>
    </x:row>
    <x:row r="73" ht="44" customHeight="1">
      <x:c r="A73" s="274" t="str">
        <x:v>D1</x:v>
      </x:c>
      <x:c r="B73" s="275" t="n">
        <x:v>2</x:v>
      </x:c>
      <x:c r="C73" s="275" t="n">
        <x:v>5</x:v>
      </x:c>
      <x:c r="D73" s="475" t="n">
        <x:v>40</x:v>
      </x:c>
      <x:c r="E73" s="275" t="str">
        <x:v>Частично</x:v>
      </x:c>
      <x:c r="F73" s="275" t="str">
        <x:v>идея iterate→filter down→unique hosts</x:v>
      </x:c>
      <x:c r="G73" s="275" t="str">
        <x:v>set syntax, add(), dict access, Python case/syntax</x:v>
      </x:c>
      <x:c r="H73" s="276" t="str">
        <x:v>Алгоритм есть, исполняемого кода пока нет.</x:v>
      </x:c>
    </x:row>
    <x:row r="74" ht="44" customHeight="1">
      <x:c r="A74" s="274" t="str">
        <x:v>D2</x:v>
      </x:c>
      <x:c r="B74" s="275" t="n">
        <x:v>2.8</x:v>
      </x:c>
      <x:c r="C74" s="275" t="n">
        <x:v>5</x:v>
      </x:c>
      <x:c r="D74" s="475" t="n">
        <x:v>56</x:v>
      </x:c>
      <x:c r="E74" s="275" t="str">
        <x:v>Средне</x:v>
      </x:c>
      <x:c r="F74" s="275" t="str">
        <x:v>grep ERROR и запись в файл</x:v>
      </x:c>
      <x:c r="G74" s="275" t="str">
        <x:v>нужен simultaneous count: grep | tee | wc -l</x:v>
      </x:c>
      <x:c r="H74" s="276" t="str">
        <x:v>cat не нужен и счетчик отсутствует.</x:v>
      </x:c>
    </x:row>
    <x:row r="75" ht="44" customHeight="1">
      <x:c r="A75" s="274" t="str">
        <x:v>D3</x:v>
      </x:c>
      <x:c r="B75" s="275" t="n">
        <x:v>2.5</x:v>
      </x:c>
      <x:c r="C75" s="275" t="n">
        <x:v>5</x:v>
      </x:c>
      <x:c r="D75" s="475" t="n">
        <x:v>50</x:v>
      </x:c>
      <x:c r="E75" s="275" t="str">
        <x:v>Средне</x:v>
      </x:c>
      <x:c r="F75" s="275" t="str">
        <x:v>branch→checkout→edit→add→commit</x:v>
      </x:c>
      <x:c r="G75" s="275" t="str">
        <x:v>git status; commit -m; push -u origin branch</x:v>
      </x:c>
      <x:c r="H75" s="276" t="str">
        <x:v>Последовательность понимаешь.</x:v>
      </x:c>
    </x:row>
    <x:row r="76" ht="44" customHeight="1">
      <x:c r="A76" s="274" t="str">
        <x:v>D4</x:v>
      </x:c>
      <x:c r="B76" s="275" t="n">
        <x:v>1</x:v>
      </x:c>
      <x:c r="C76" s="275" t="n">
        <x:v>5</x:v>
      </x:c>
      <x:c r="D76" s="475" t="n">
        <x:v>20</x:v>
      </x:c>
      <x:c r="E76" s="275" t="str">
        <x:v>Слабо</x:v>
      </x:c>
      <x:c r="F76" s="275" t="str">
        <x:v>SELECT/WHERE и идея COUNT</x:v>
      </x:c>
      <x:c r="G76" s="275" t="str">
        <x:v>GROUP BY, COUNT alias, HAVING, ORDER BY, date filter</x:v>
      </x:c>
      <x:c r="H76" s="276" t="str">
        <x:v>SQL — главный практический пробел.</x:v>
      </x:c>
    </x:row>
    <x:row r="77" ht="44" customHeight="1">
      <x:c r="A77" s="274" t="str">
        <x:v>E1</x:v>
      </x:c>
      <x:c r="B77" s="275" t="n">
        <x:v>2</x:v>
      </x:c>
      <x:c r="C77" s="275" t="n">
        <x:v>2.5</x:v>
      </x:c>
      <x:c r="D77" s="475" t="n">
        <x:v>80</x:v>
      </x:c>
      <x:c r="E77" s="275" t="str">
        <x:v>Хорошо</x:v>
      </x:c>
      <x:c r="F77" s="275" t="str">
        <x:v>cron/API/pagination/DB/CSV/logs/retry/validation</x:v>
      </x:c>
      <x:c r="G77" s="275" t="str">
        <x:v>runtime не должен сам push в Git</x:v>
      </x:c>
      <x:c r="H77" s="276" t="str">
        <x:v>Хорошая декомпозиция.</x:v>
      </x:c>
    </x:row>
    <x:row r="78" ht="44" customHeight="1">
      <x:c r="A78" s="274" t="str">
        <x:v>E2</x:v>
      </x:c>
      <x:c r="B78" s="275" t="n">
        <x:v>1.2</x:v>
      </x:c>
      <x:c r="C78" s="275" t="n">
        <x:v>2.5</x:v>
      </x:c>
      <x:c r="D78" s="475" t="n">
        <x:v>48</x:v>
      </x:c>
      <x:c r="E78" s="275" t="str">
        <x:v>Частично</x:v>
      </x:c>
      <x:c r="F78" s="275" t="str">
        <x:v>token/retry/timeout/status упомянуты</x:v>
      </x:c>
      <x:c r="G78" s="275" t="str">
        <x:v>конкретная pagination loop, transient retry/backoff, failure policy</x:v>
      </x:c>
      <x:c r="H78" s="276" t="str">
        <x:v>Слишком общо.</x:v>
      </x:c>
    </x:row>
    <x:row r="79" ht="44" customHeight="1">
      <x:c r="A79" s="274" t="str">
        <x:v>E3</x:v>
      </x:c>
      <x:c r="B79" s="275" t="n">
        <x:v>0.5</x:v>
      </x:c>
      <x:c r="C79" s="275" t="n">
        <x:v>2.5</x:v>
      </x:c>
      <x:c r="D79" s="475" t="n">
        <x:v>20</x:v>
      </x:c>
      <x:c r="E79" s="275" t="str">
        <x:v>Слабо</x:v>
      </x:c>
      <x:c r="F79" s="275" t="str">
        <x:v>понимаешь необходимость уникального ключа</x:v>
      </x:c>
      <x:c r="G79" s="275" t="str">
        <x:v>в API нет id; IP плох как стабильный PK; нужен UNIQUE+UPSERT</x:v>
      </x:c>
      <x:c r="H79" s="276" t="str">
        <x:v>Термины constraints/upsert не воспроизводятся.</x:v>
      </x:c>
    </x:row>
    <x:row r="80" ht="44" customHeight="1">
      <x:c r="A80" s="274" t="str">
        <x:v>E4</x:v>
      </x:c>
      <x:c r="B80" s="275" t="n">
        <x:v>1.5</x:v>
      </x:c>
      <x:c r="C80" s="275" t="n">
        <x:v>2.5</x:v>
      </x:c>
      <x:c r="D80" s="475" t="n">
        <x:v>60</x:v>
      </x:c>
      <x:c r="E80" s="275" t="str">
        <x:v>Средне</x:v>
      </x:c>
      <x:c r="F80" s="275" t="str">
        <x:v>exception, skip bad record, log details</x:v>
      </x:c>
      <x:c r="G80" s="275" t="str">
        <x:v>overall exit semantics и record identity</x:v>
      </x:c>
      <x:c r="H80" s="276" t="str">
        <x:v>Хорошая практическая интуиция.</x:v>
      </x:c>
    </x:row>
    <x:row r="81" ht="44" customHeight="1">
      <x:c r="A81" s="274" t="str">
        <x:v>E5</x:v>
      </x:c>
      <x:c r="B81" s="275" t="n">
        <x:v>0.5</x:v>
      </x:c>
      <x:c r="C81" s="275" t="n">
        <x:v>2.5</x:v>
      </x:c>
      <x:c r="D81" s="475" t="n">
        <x:v>20</x:v>
      </x:c>
      <x:c r="E81" s="275" t="str">
        <x:v>Слабо</x:v>
      </x:c>
      <x:c r="F81" s="275" t="str">
        <x:v>формировать после валидации</x:v>
      </x:c>
      <x:c r="G81" s="275" t="str">
        <x:v>atomic temp file + rename</x:v>
      </x:c>
      <x:c r="H81" s="276" t="str">
        <x:v>Половинчатый CSV остается возможен.</x:v>
      </x:c>
    </x:row>
    <x:row r="82" ht="44" customHeight="1">
      <x:c r="A82" s="274" t="str">
        <x:v>E6</x:v>
      </x:c>
      <x:c r="B82" s="275" t="n">
        <x:v>2</x:v>
      </x:c>
      <x:c r="C82" s="275" t="n">
        <x:v>2.5</x:v>
      </x:c>
      <x:c r="D82" s="475" t="n">
        <x:v>80</x:v>
      </x:c>
      <x:c r="E82" s="275" t="str">
        <x:v>Хорошо</x:v>
      </x:c>
      <x:c r="F82" s="275" t="str">
        <x:v>cron + exit code</x:v>
      </x:c>
      <x:c r="G82" s="275" t="str">
        <x:v>lock against overlapping runs можно добавить</x:v>
      </x:c>
      <x:c r="H82" s="276" t="str">
        <x:v>По сути правильно.</x:v>
      </x:c>
    </x:row>
    <x:row r="83" ht="44" customHeight="1">
      <x:c r="A83" s="274" t="str">
        <x:v>E7</x:v>
      </x:c>
      <x:c r="B83" s="275" t="n">
        <x:v>1.5</x:v>
      </x:c>
      <x:c r="C83" s="275" t="n">
        <x:v>2.5</x:v>
      </x:c>
      <x:c r="D83" s="475" t="n">
        <x:v>60</x:v>
      </x:c>
      <x:c r="E83" s="275" t="str">
        <x:v>Средне</x:v>
      </x:c>
      <x:c r="F83" s="275" t="str">
        <x:v>не коммитить tokens/env; .gitignore</x:v>
      </x:c>
      <x:c r="G83" s="275" t="str">
        <x:v>README, requirements, tests, repo structure</x:v>
      </x:c>
      <x:c r="H83" s="276" t="str">
        <x:v>Security instinct хороший.</x:v>
      </x:c>
    </x:row>
    <x:row r="84" ht="44" customHeight="1">
      <x:c r="A84" s="277" t="str">
        <x:v>E8</x:v>
      </x:c>
      <x:c r="B84" s="278" t="n">
        <x:v>1.3</x:v>
      </x:c>
      <x:c r="C84" s="278" t="n">
        <x:v>2.5</x:v>
      </x:c>
      <x:c r="D84" s="476" t="n">
        <x:v>52</x:v>
      </x:c>
      <x:c r="E84" s="278" t="str">
        <x:v>Средне</x:v>
      </x:c>
      <x:c r="F84" s="278" t="str">
        <x:v>названы 4 класса сбоя и реакции</x:v>
      </x:c>
      <x:c r="G84" s="278" t="str">
        <x:v>не все ошибки retryable; token refresh зависит от auth; DB via constraints/upsert</x:v>
      </x:c>
      <x:c r="H84" s="279" t="str">
        <x:v>Логика есть, policy требует точности.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{FBBEBD36-A329-F615-557D-4A3CF5526BE5}</x14:id>
        </x:ext>
      </x:extLst>
    </x:cfRule>
  </x:conditionalFormatting>
  <x:conditionalFormatting sqref="C20:C26">
    <x:cfRule type="expression" dxfId="7" priority="2">
      <x:formula>C20="Критический"</x:formula>
    </x:cfRule>
    <x:cfRule type="expression" dxfId="8" priority="3">
      <x:formula>C20="Высокий"</x:formula>
    </x:cfRule>
    <x:cfRule type="expression" dxfId="9" priority="4">
      <x:formula>C20="Средний"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BEBD36-A329-F615-557D-4A3CF5526BE5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40" hidden="0" customWidth="1"/>
    <x:col min="8" max="8" width="38" hidden="0" customWidth="1"/>
  </x:cols>
  <x:sheetData>
    <x:row r="1">
      <x:c r="A1" s="553" t="str">
        <x:v>ЭКЗАМЕН №3 · РАЗБОР И ДИАГНОСТИКА</x:v>
      </x:c>
      <x:c r="B1" s="553"/>
      <x:c r="C1" s="553"/>
      <x:c r="D1" s="553"/>
      <x:c r="E1" s="553"/>
      <x:c r="F1" s="553"/>
      <x:c r="G1" s="553"/>
      <x:c r="H1" s="553"/>
    </x:row>
    <x:row r="2">
      <x:c r="A2" s="553"/>
      <x:c r="B2" s="553"/>
      <x:c r="C2" s="553"/>
      <x:c r="D2" s="553"/>
      <x:c r="E2" s="553"/>
      <x:c r="F2" s="553"/>
      <x:c r="G2" s="553"/>
      <x:c r="H2" s="553"/>
    </x:row>
    <x:row r="3">
      <x:c r="A3" s="556" t="str">
        <x:v>Linux &amp; Systems · 19.08.2026 · строгая оценка baseline</x:v>
      </x:c>
      <x:c r="B3" s="556"/>
      <x:c r="C3" s="556"/>
      <x:c r="D3" s="556"/>
      <x:c r="E3" s="556"/>
      <x:c r="F3" s="556"/>
      <x:c r="G3" s="556"/>
      <x:c r="H3" s="556"/>
    </x:row>
    <x:row r="5">
      <x:c r="A5" s="561" t="str">
        <x:v>Блок</x:v>
      </x:c>
      <x:c r="B5" s="561" t="str">
        <x:v>Макс.</x:v>
      </x:c>
      <x:c r="C5" s="561" t="str">
        <x:v>Балл</x:v>
      </x:c>
      <x:c r="D5" s="561" t="str">
        <x:v>%</x:v>
      </x:c>
      <x:c r="E5" s="561" t="str">
        <x:v>Оценка</x:v>
      </x:c>
      <x:c r="F5" s="561" t="str">
        <x:v>Что получилось</x:v>
      </x:c>
      <x:c r="G5" s="561" t="str">
        <x:v>Главный пробел</x:v>
      </x:c>
      <x:c r="H5" s="561" t="str">
        <x:v>Диагностический вывод</x:v>
      </x:c>
    </x:row>
    <x:row r="6" ht="88" customHeight="1">
      <x:c r="A6" s="580" t="str">
        <x:v>A · Тест</x:v>
      </x:c>
      <x:c r="B6" s="581" t="n">
        <x:v>20</x:v>
      </x:c>
      <x:c r="C6" s="581" t="n">
        <x:v>13</x:v>
      </x:c>
      <x:c r="D6" s="589" t="n">
        <x:v>65</x:v>
      </x:c>
      <x:c r="E6" s="581" t="str">
        <x:v>Среднее узнавание</x:v>
      </x:c>
      <x:c r="F6" s="581" t="str">
        <x:v>UID/root/chmod/chown/sudo, PID, status, mount point, journal, SSH, ip addr и load average распознаны.</x:v>
      </x:c>
      <x:c r="G6" s="581" t="str">
        <x:v>Signals, enable, fstab, df/du и ss пока не узнаются.</x:v>
      </x:c>
      <x:c r="H6" s="582" t="str">
        <x:v>Термины знакомы, но системная база неравномерна.</x:v>
      </x:c>
    </x:row>
    <x:row r="7" ht="88" customHeight="1">
      <x:c r="A7" s="583" t="str">
        <x:v>B · Короткие</x:v>
      </x:c>
      <x:c r="B7" s="584" t="n">
        <x:v>20</x:v>
      </x:c>
      <x:c r="C7" s="584" t="n">
        <x:v>9</x:v>
      </x:c>
      <x:c r="D7" s="590" t="n">
        <x:v>45</x:v>
      </x:c>
      <x:c r="E7" s="584" t="str">
        <x:v>Слабо-средне</x:v>
      </x:c>
      <x:c r="F7" s="584" t="str">
        <x:v>chmod/chown, sudo-vs-root и SSH troubleshooting объясняются логически.</x:v>
      </x:c>
      <x:c r="G7" s="584" t="str">
        <x:v>Permissions, process states/signals, filesystem/storage и сетевые диагностические состояния неточны.</x:v>
      </x:c>
      <x:c r="H7" s="585" t="str">
        <x:v>Свободное воспроизведение есть, но много неправильных моделей.</x:v>
      </x:c>
    </x:row>
    <x:row r="8" ht="88" customHeight="1">
      <x:c r="A8" s="583" t="str">
        <x:v>C · Развернутые</x:v>
      </x:c>
      <x:c r="B8" s="584" t="n">
        <x:v>20</x:v>
      </x:c>
      <x:c r="C8" s="584" t="n">
        <x:v>6.6</x:v>
      </x:c>
      <x:c r="D8" s="590" t="n">
        <x:v>33</x:v>
      </x:c>
      <x:c r="E8" s="584" t="str">
        <x:v>Слабо</x:v>
      </x:c>
      <x:c r="F8" s="584" t="str">
        <x:v>Есть отдельные фрагменты process/PID/env, systemd logs/exit code и mount.</x:v>
      </x:c>
      <x:c r="G8" s="584" t="str">
        <x:v>fork/exec, descriptors, directory execute semantics, systemd internals, storage/inode почти отсутствуют.</x:v>
      </x:c>
      <x:c r="H8" s="585" t="str">
        <x:v>Цельной системной модели Linux пока нет.</x:v>
      </x:c>
    </x:row>
    <x:row r="9" ht="88" customHeight="1">
      <x:c r="A9" s="583" t="str">
        <x:v>D · Практика</x:v>
      </x:c>
      <x:c r="B9" s="584" t="n">
        <x:v>20</x:v>
      </x:c>
      <x:c r="C9" s="584" t="n">
        <x:v>6.5</x:v>
      </x:c>
      <x:c r="D9" s="590" t="n">
        <x:v>32.5</x:v>
      </x:c>
      <x:c r="E9" s="584" t="str">
        <x:v>Слабо</x:v>
      </x:c>
      <x:c r="F9" s="584" t="str">
        <x:v>Помнишь mkdir/chown/chmod, systemctl status, ss, grep и общую логику SSH.</x:v>
      </x:c>
      <x:c r="G9" s="584" t="str">
        <x:v>Команды и права неточны; disk diagnostics почти отсутствует.</x:v>
      </x:c>
      <x:c r="H9" s="585" t="str">
        <x:v>Hands-on опыт не закрепился в устойчивую командную память.</x:v>
      </x:c>
    </x:row>
    <x:row r="10" ht="88" customHeight="1">
      <x:c r="A10" s="586" t="str">
        <x:v>E · Инженерный кейс</x:v>
      </x:c>
      <x:c r="B10" s="587" t="n">
        <x:v>20</x:v>
      </x:c>
      <x:c r="C10" s="587" t="n">
        <x:v>8.6</x:v>
      </x:c>
      <x:c r="D10" s="591" t="n">
        <x:v>43</x:v>
      </x:c>
      <x:c r="E10" s="587" t="str">
        <x:v>Слабо-средне</x:v>
      </x:c>
      <x:c r="F10" s="587" t="str">
        <x:v>Замечены disk pressure, memory/swap, listener, firewall; правильно отвергнут cron-restart как лечение причины.</x:v>
      </x:c>
      <x:c r="G10" s="587" t="str">
        <x:v>Не хватает конкретных измерений, systemd/storage/OOM инструментов и последовательного incident plan.</x:v>
      </x:c>
      <x:c r="H10" s="588" t="str">
        <x:v>Инженерная интуиция лучше знания Linux-инструментов.</x:v>
      </x:c>
    </x:row>
    <x:row r="12">
      <x:c r="A12" s="593" t="str">
        <x:v>Итог</x:v>
      </x:c>
      <x:c r="B12" s="593"/>
      <x:c r="C12" s="593"/>
      <x:c r="D12" s="593"/>
      <x:c r="E12" s="593"/>
      <x:c r="F12" s="593"/>
      <x:c r="G12" s="593"/>
      <x:c r="H12" s="593"/>
    </x:row>
    <x:row r="13">
      <x:c r="A13" s="595" t="str">
        <x:v>Итоговый балл</x:v>
      </x:c>
      <x:c r="B13" s="604" t="n">
        <x:v>43.7</x:v>
      </x:c>
      <x:c r="D13" s="626" t="str">
        <x:v>Главный вывод: твое ощущение 'между первым и вторым экзаменом' подтвердилось почти буквально. Linux &amp; Systems сильнее фундаментального CS, потому что есть реальная эксплуатационная интуиция и знакомство с инструментами. Но до Programming &amp; Automation не дотягивает: слишком много системных механизмов и команд не воспроизводятся. Это область, где теория и hands-on должны идти почти 50/50.</x:v>
      </x:c>
      <x:c r="E13" s="627"/>
      <x:c r="F13" s="627"/>
      <x:c r="G13" s="627"/>
      <x:c r="H13" s="628"/>
    </x:row>
    <x:row r="14">
      <x:c r="A14" s="596" t="str">
        <x:v>Подтвержденный общий ранг</x:v>
      </x:c>
      <x:c r="B14" s="605" t="n">
        <x:v>1.3</x:v>
      </x:c>
      <x:c r="D14" s="629"/>
      <x:c r="E14" s="630"/>
      <x:c r="F14" s="630"/>
      <x:c r="G14" s="630"/>
      <x:c r="H14" s="631"/>
    </x:row>
    <x:row r="15">
      <x:c r="A15" s="596" t="str">
        <x:v>Фактическое время</x:v>
      </x:c>
      <x:c r="B15" s="602" t="str">
        <x:v>125 мин из 150</x:v>
      </x:c>
      <x:c r="D15" s="629"/>
      <x:c r="E15" s="630"/>
      <x:c r="F15" s="630"/>
      <x:c r="G15" s="630"/>
      <x:c r="H15" s="631"/>
    </x:row>
    <x:row r="16">
      <x:c r="A16" s="597" t="str">
        <x:v>Позиция среди 3 экзаменов</x:v>
      </x:c>
      <x:c r="B16" s="603" t="str">
        <x:v>2-е место</x:v>
      </x:c>
      <x:c r="D16" s="632"/>
      <x:c r="E16" s="633"/>
      <x:c r="F16" s="633"/>
      <x:c r="G16" s="633"/>
      <x:c r="H16" s="634"/>
    </x:row>
    <x:row r="18">
      <x:c r="A18" s="593" t="str">
        <x:v>Подтвержденные ранги по поднавыкам</x:v>
      </x:c>
      <x:c r="B18" s="593"/>
      <x:c r="C18" s="593"/>
      <x:c r="D18" s="593"/>
      <x:c r="E18" s="593"/>
      <x:c r="F18" s="593"/>
      <x:c r="G18" s="593"/>
      <x:c r="H18" s="593"/>
    </x:row>
    <x:row r="19">
      <x:c r="A19" s="561" t="str">
        <x:v>Навык</x:v>
      </x:c>
      <x:c r="B19" s="561" t="str">
        <x:v>Ранг 0–5</x:v>
      </x:c>
      <x:c r="C19" s="561" t="str">
        <x:v>Приоритет</x:v>
      </x:c>
      <x:c r="D19" s="561" t="str">
        <x:v>Комментарий</x:v>
      </x:c>
    </x:row>
    <x:row r="20" ht="42" customHeight="1">
      <x:c r="A20" s="653" t="str">
        <x:v>Users / groups / permissions</x:v>
      </x:c>
      <x:c r="B20" s="654" t="n">
        <x:v>1.4</x:v>
      </x:c>
      <x:c r="C20" s="654" t="str">
        <x:v>Высокий</x:v>
      </x:c>
      <x:c r="D20" s="655" t="str">
        <x:v>База есть, но semantics rwx и каталоги надо исправить.</x:v>
      </x:c>
    </x:row>
    <x:row r="21" ht="42" customHeight="1">
      <x:c r="A21" s="656" t="str">
        <x:v>Processes / signals</x:v>
      </x:c>
      <x:c r="B21" s="657" t="n">
        <x:v>0.9</x:v>
      </x:c>
      <x:c r="C21" s="657" t="str">
        <x:v>Критический</x:v>
      </x:c>
      <x:c r="D21" s="658" t="str">
        <x:v>PID знаком, lifecycle/signals почти отсутствуют.</x:v>
      </x:c>
    </x:row>
    <x:row r="22" ht="42" customHeight="1">
      <x:c r="A22" s="656" t="str">
        <x:v>systemd / services / journal</x:v>
      </x:c>
      <x:c r="B22" s="657" t="n">
        <x:v>1.1</x:v>
      </x:c>
      <x:c r="C22" s="657" t="str">
        <x:v>Критический</x:v>
      </x:c>
      <x:c r="D22" s="658" t="str">
        <x:v>Status/logs знакомы; unit/enable/dependencies требуют базы.</x:v>
      </x:c>
    </x:row>
    <x:row r="23" ht="42" customHeight="1">
      <x:c r="A23" s="656" t="str">
        <x:v>Filesystems / disks / inode</x:v>
      </x:c>
      <x:c r="B23" s="657" t="n">
        <x:v>0.7</x:v>
      </x:c>
      <x:c r="C23" s="657" t="str">
        <x:v>Критический</x:v>
      </x:c>
      <x:c r="D23" s="658" t="str">
        <x:v>Самая слабая зона Linux-экзамена.</x:v>
      </x:c>
    </x:row>
    <x:row r="24" ht="42" customHeight="1">
      <x:c r="A24" s="656" t="str">
        <x:v>System troubleshooting</x:v>
      </x:c>
      <x:c r="B24" s="657" t="n">
        <x:v>1.1</x:v>
      </x:c>
      <x:c r="C24" s="657" t="str">
        <x:v>Высокий</x:v>
      </x:c>
      <x:c r="D24" s="658" t="str">
        <x:v>Правильная осторожность есть, командной системы диагностики нет.</x:v>
      </x:c>
    </x:row>
    <x:row r="25" ht="42" customHeight="1">
      <x:c r="A25" s="656" t="str">
        <x:v>SSH</x:v>
      </x:c>
      <x:c r="B25" s="657" t="n">
        <x:v>1.7</x:v>
      </x:c>
      <x:c r="C25" s="657" t="str">
        <x:v>Высокий</x:v>
      </x:c>
      <x:c r="D25" s="658" t="str">
        <x:v>Самая сильная прикладная зона; быстро поднимается практикой.</x:v>
      </x:c>
    </x:row>
    <x:row r="26" ht="42" customHeight="1">
      <x:c r="A26" s="659" t="str">
        <x:v>Networking / sockets</x:v>
      </x:c>
      <x:c r="B26" s="660" t="n">
        <x:v>1.5</x:v>
      </x:c>
      <x:c r="C26" s="660" t="str">
        <x:v>Высокий</x:v>
      </x:c>
      <x:c r="D26" s="661" t="str">
        <x:v>Есть listener/firewall intuition, нужно закрепить команды и состояния.</x:v>
      </x:c>
    </x:row>
    <x:row r="28">
      <x:c r="A28" s="593" t="str">
        <x:v>Ключевые диагностические сигналы</x:v>
      </x:c>
      <x:c r="B28" s="593"/>
      <x:c r="C28" s="593"/>
      <x:c r="D28" s="593"/>
      <x:c r="E28" s="593"/>
      <x:c r="F28" s="593"/>
      <x:c r="G28" s="593"/>
      <x:c r="H28" s="593"/>
    </x:row>
    <x:row r="29" ht="56" customHeight="1">
      <x:c r="A29" s="665" t="str">
        <x:v>1</x:v>
      </x:c>
      <x:c r="B29" s="670" t="str">
        <x:v>Практическая интуиция существует</x:v>
      </x:c>
      <x:c r="C29" s="671"/>
      <x:c r="D29" s="678" t="str">
        <x:v>В SSH и сетевой части ты естественно строишь цепочку network→firewall→service→auth и listener→firewall. Это уже инженерный шаблон мышления.</x:v>
      </x:c>
      <x:c r="E29" s="679"/>
      <x:c r="F29" s="679"/>
      <x:c r="G29" s="679"/>
      <x:c r="H29" s="680"/>
    </x:row>
    <x:row r="30" ht="56" customHeight="1">
      <x:c r="A30" s="665" t="str">
        <x:v>2</x:v>
      </x:c>
      <x:c r="B30" s="670" t="str">
        <x:v>Commands recognition сильно нестабилен</x:v>
      </x:c>
      <x:c r="C30" s="671"/>
      <x:c r="D30" s="678" t="str">
        <x:v>df, du, fstab, ss и systemctl enable не вспомнились, хотя это базовые Linux-инструменты. Здесь нужен именно регулярный терминал.</x:v>
      </x:c>
      <x:c r="E30" s="679"/>
      <x:c r="F30" s="679"/>
      <x:c r="G30" s="679"/>
      <x:c r="H30" s="680"/>
    </x:row>
    <x:row r="31" ht="56" customHeight="1">
      <x:c r="A31" s="665" t="str">
        <x:v>3</x:v>
      </x:c>
      <x:c r="B31" s="670" t="str">
        <x:v>Storage — наиболее критический пробел</x:v>
      </x:c>
      <x:c r="C31" s="671"/>
      <x:c r="D31" s="678" t="str">
        <x:v>Partition/filesystem/inode/open-deleted-file смешиваются между собой. Эта зона практически требует пересборки с нуля.</x:v>
      </x:c>
      <x:c r="E31" s="679"/>
      <x:c r="F31" s="679"/>
      <x:c r="G31" s="679"/>
      <x:c r="H31" s="680"/>
    </x:row>
    <x:row r="32" ht="56" customHeight="1">
      <x:c r="A32" s="665" t="str">
        <x:v>4</x:v>
      </x:c>
      <x:c r="B32" s="670" t="str">
        <x:v>Есть несколько неправильных моделей permissions</x:v>
      </x:c>
      <x:c r="C32" s="671"/>
      <x:c r="D32" s="678" t="str">
        <x:v>x — не 'передача прав'. Для файла это execute, для каталога — traversal/search. Это надо исправить в самом начале обучения.</x:v>
      </x:c>
      <x:c r="E32" s="679"/>
      <x:c r="F32" s="679"/>
      <x:c r="G32" s="679"/>
      <x:c r="H32" s="680"/>
    </x:row>
    <x:row r="33" ht="56" customHeight="1">
      <x:c r="A33" s="665" t="str">
        <x:v>5</x:v>
      </x:c>
      <x:c r="B33" s="670" t="str">
        <x:v>Incident thinking лучше tool knowledge</x:v>
      </x:c>
      <x:c r="C33" s="671"/>
      <x:c r="D33" s="678" t="str">
        <x:v>Ты правильно не хочешь лечить сбой cron-restart и не предлагаешь хаотично kill/rm. Но пока мало команд, чтобы доказать гипотезы измерениями.</x:v>
      </x:c>
      <x:c r="E33" s="679"/>
      <x:c r="F33" s="679"/>
      <x:c r="G33" s="679"/>
      <x:c r="H33" s="680"/>
    </x:row>
    <x:row r="34" ht="56" customHeight="1">
      <x:c r="A34" s="665" t="str">
        <x:v>6</x:v>
      </x:c>
      <x:c r="B34" s="670" t="str">
        <x:v>Самооценка снова хорошо откалибрована</x:v>
      </x:c>
      <x:c r="C34" s="671"/>
      <x:c r="D34" s="678" t="str">
        <x:v>Ты сам выделил SSH как относительно сильную область и память/нагрузку как слабую — объективная проверка дала практически ту же картину.</x:v>
      </x:c>
      <x:c r="E34" s="679"/>
      <x:c r="F34" s="679"/>
      <x:c r="G34" s="679"/>
      <x:c r="H34" s="680"/>
    </x:row>
    <x:row r="37">
      <x:c r="A37" s="593" t="str">
        <x:v>Проверка по каждому заданию</x:v>
      </x:c>
      <x:c r="B37" s="593"/>
      <x:c r="C37" s="593"/>
      <x:c r="D37" s="593"/>
      <x:c r="E37" s="593"/>
      <x:c r="F37" s="593"/>
      <x:c r="G37" s="593"/>
      <x:c r="H37" s="593"/>
    </x:row>
    <x:row r="38">
      <x:c r="A38" s="561" t="str">
        <x:v>Задание</x:v>
      </x:c>
      <x:c r="B38" s="561" t="str">
        <x:v>Балл</x:v>
      </x:c>
      <x:c r="C38" s="561" t="str">
        <x:v>Макс.</x:v>
      </x:c>
      <x:c r="D38" s="561" t="str">
        <x:v>%</x:v>
      </x:c>
      <x:c r="E38" s="561" t="str">
        <x:v>Вердикт</x:v>
      </x:c>
      <x:c r="F38" s="561" t="str">
        <x:v>Что засчитано</x:v>
      </x:c>
      <x:c r="G38" s="561" t="str">
        <x:v>Что исправить</x:v>
      </x:c>
      <x:c r="H38" s="561" t="str">
        <x:v>Комментарий</x:v>
      </x:c>
    </x:row>
    <x:row r="39" ht="44" customHeight="1">
      <x:c r="A39" s="580" t="str">
        <x:v>A1</x:v>
      </x:c>
      <x:c r="B39" s="581" t="n">
        <x:v>1</x:v>
      </x:c>
      <x:c r="C39" s="581" t="n">
        <x:v>1</x:v>
      </x:c>
      <x:c r="D39" s="681" t="n">
        <x:v>100</x:v>
      </x:c>
      <x:c r="E39" s="581" t="str">
        <x:v>Да</x:v>
      </x:c>
      <x:c r="F39" s="581" t="str">
        <x:v>UID</x:v>
      </x:c>
      <x:c r="G39" s="581" t="str">
        <x:v>—</x:v>
      </x:c>
      <x:c r="H39" s="582" t="str">
        <x:v>Верно.</x:v>
      </x:c>
    </x:row>
    <x:row r="40" ht="44" customHeight="1">
      <x:c r="A40" s="583" t="str">
        <x:v>A2</x:v>
      </x:c>
      <x:c r="B40" s="584" t="n">
        <x:v>1</x:v>
      </x:c>
      <x:c r="C40" s="584" t="n">
        <x:v>1</x:v>
      </x:c>
      <x:c r="D40" s="682" t="n">
        <x:v>100</x:v>
      </x:c>
      <x:c r="E40" s="584" t="str">
        <x:v>Да</x:v>
      </x:c>
      <x:c r="F40" s="584" t="str">
        <x:v>root UID 0</x:v>
      </x:c>
      <x:c r="G40" s="584" t="str">
        <x:v>—</x:v>
      </x:c>
      <x:c r="H40" s="585" t="str">
        <x:v>Верно.</x:v>
      </x:c>
    </x:row>
    <x:row r="41" ht="44" customHeight="1">
      <x:c r="A41" s="583" t="str">
        <x:v>A3</x:v>
      </x:c>
      <x:c r="B41" s="584" t="n">
        <x:v>1</x:v>
      </x:c>
      <x:c r="C41" s="584" t="n">
        <x:v>1</x:v>
      </x:c>
      <x:c r="D41" s="682" t="n">
        <x:v>100</x:v>
      </x:c>
      <x:c r="E41" s="584" t="str">
        <x:v>Да</x:v>
      </x:c>
      <x:c r="F41" s="584" t="str">
        <x:v>640 → rw-r-----</x:v>
      </x:c>
      <x:c r="G41" s="584" t="str">
        <x:v>—</x:v>
      </x:c>
      <x:c r="H41" s="585" t="str">
        <x:v>Верно.</x:v>
      </x:c>
    </x:row>
    <x:row r="42" ht="44" customHeight="1">
      <x:c r="A42" s="583" t="str">
        <x:v>A4</x:v>
      </x:c>
      <x:c r="B42" s="584" t="n">
        <x:v>1</x:v>
      </x:c>
      <x:c r="C42" s="584" t="n">
        <x:v>1</x:v>
      </x:c>
      <x:c r="D42" s="682" t="n">
        <x:v>100</x:v>
      </x:c>
      <x:c r="E42" s="584" t="str">
        <x:v>Да</x:v>
      </x:c>
      <x:c r="F42" s="584" t="str">
        <x:v>chown owner:group</x:v>
      </x:c>
      <x:c r="G42" s="584" t="str">
        <x:v>—</x:v>
      </x:c>
      <x:c r="H42" s="585" t="str">
        <x:v>Верно.</x:v>
      </x:c>
    </x:row>
    <x:row r="43" ht="44" customHeight="1">
      <x:c r="A43" s="583" t="str">
        <x:v>A5</x:v>
      </x:c>
      <x:c r="B43" s="584" t="n">
        <x:v>1</x:v>
      </x:c>
      <x:c r="C43" s="584" t="n">
        <x:v>1</x:v>
      </x:c>
      <x:c r="D43" s="682" t="n">
        <x:v>100</x:v>
      </x:c>
      <x:c r="E43" s="584" t="str">
        <x:v>Да</x:v>
      </x:c>
      <x:c r="F43" s="584" t="str">
        <x:v>sudo</x:v>
      </x:c>
      <x:c r="G43" s="584" t="str">
        <x:v>—</x:v>
      </x:c>
      <x:c r="H43" s="585" t="str">
        <x:v>Верно.</x:v>
      </x:c>
    </x:row>
    <x:row r="44" ht="44" customHeight="1">
      <x:c r="A44" s="583" t="str">
        <x:v>A6</x:v>
      </x:c>
      <x:c r="B44" s="584" t="n">
        <x:v>1</x:v>
      </x:c>
      <x:c r="C44" s="584" t="n">
        <x:v>1</x:v>
      </x:c>
      <x:c r="D44" s="682" t="n">
        <x:v>100</x:v>
      </x:c>
      <x:c r="E44" s="584" t="str">
        <x:v>Да</x:v>
      </x:c>
      <x:c r="F44" s="584" t="str">
        <x:v>PID</x:v>
      </x:c>
      <x:c r="G44" s="584" t="str">
        <x:v>—</x:v>
      </x:c>
      <x:c r="H44" s="585" t="str">
        <x:v>Верно.</x:v>
      </x:c>
    </x:row>
    <x:row r="45" ht="44" customHeight="1">
      <x:c r="A45" s="583" t="str">
        <x:v>A7</x:v>
      </x:c>
      <x:c r="B45" s="584" t="n">
        <x:v>0</x:v>
      </x:c>
      <x:c r="C45" s="584" t="n">
        <x:v>1</x:v>
      </x:c>
      <x:c r="D45" s="682" t="n">
        <x:v>0</x:v>
      </x:c>
      <x:c r="E45" s="584" t="str">
        <x:v>Нет</x:v>
      </x:c>
      <x:c r="F45" s="584" t="str">
        <x:v>—</x:v>
      </x:c>
      <x:c r="G45" s="584" t="str">
        <x:v>kill PID по умолчанию отправляет SIGTERM</x:v>
      </x:c>
      <x:c r="H45" s="585" t="str">
        <x:v>SIGKILL — kill -9.</x:v>
      </x:c>
    </x:row>
    <x:row r="46" ht="44" customHeight="1">
      <x:c r="A46" s="583" t="str">
        <x:v>A8</x:v>
      </x:c>
      <x:c r="B46" s="584" t="n">
        <x:v>0</x:v>
      </x:c>
      <x:c r="C46" s="584" t="n">
        <x:v>1</x:v>
      </x:c>
      <x:c r="D46" s="682" t="n">
        <x:v>0</x:v>
      </x:c>
      <x:c r="E46" s="584" t="str">
        <x:v>Нет</x:v>
      </x:c>
      <x:c r="F46" s="584" t="str">
        <x:v>—</x:v>
      </x:c>
      <x:c r="G46" s="584" t="str">
        <x:v>SIGKILL нельзя обработать/перехватить</x:v>
      </x:c>
      <x:c r="H46" s="585" t="str">
        <x:v>Ключевое различие не вспомнилось.</x:v>
      </x:c>
    </x:row>
    <x:row r="47" ht="44" customHeight="1">
      <x:c r="A47" s="583" t="str">
        <x:v>A9</x:v>
      </x:c>
      <x:c r="B47" s="584" t="n">
        <x:v>1</x:v>
      </x:c>
      <x:c r="C47" s="584" t="n">
        <x:v>1</x:v>
      </x:c>
      <x:c r="D47" s="682" t="n">
        <x:v>100</x:v>
      </x:c>
      <x:c r="E47" s="584" t="str">
        <x:v>Да</x:v>
      </x:c>
      <x:c r="F47" s="584" t="str">
        <x:v>systemctl status</x:v>
      </x:c>
      <x:c r="G47" s="584" t="str">
        <x:v>—</x:v>
      </x:c>
      <x:c r="H47" s="585" t="str">
        <x:v>Верно.</x:v>
      </x:c>
    </x:row>
    <x:row r="48" ht="44" customHeight="1">
      <x:c r="A48" s="583" t="str">
        <x:v>A10</x:v>
      </x:c>
      <x:c r="B48" s="584" t="n">
        <x:v>0</x:v>
      </x:c>
      <x:c r="C48" s="584" t="n">
        <x:v>1</x:v>
      </x:c>
      <x:c r="D48" s="682" t="n">
        <x:v>0</x:v>
      </x:c>
      <x:c r="E48" s="584" t="str">
        <x:v>Нет</x:v>
      </x:c>
      <x:c r="F48" s="584" t="str">
        <x:v>—</x:v>
      </x:c>
      <x:c r="G48" s="584" t="str">
        <x:v>enable настраивает запуск unit при boot target</x:v>
      </x:c>
      <x:c r="H48" s="585" t="str">
        <x:v>Не вспомнилось.</x:v>
      </x:c>
    </x:row>
    <x:row r="49" ht="44" customHeight="1">
      <x:c r="A49" s="583" t="str">
        <x:v>A11</x:v>
      </x:c>
      <x:c r="B49" s="584" t="n">
        <x:v>0</x:v>
      </x:c>
      <x:c r="C49" s="584" t="n">
        <x:v>1</x:v>
      </x:c>
      <x:c r="D49" s="682" t="n">
        <x:v>0</x:v>
      </x:c>
      <x:c r="E49" s="584" t="str">
        <x:v>Нет</x:v>
      </x:c>
      <x:c r="F49" s="584" t="str">
        <x:v>—</x:v>
      </x:c>
      <x:c r="G49" s="584" t="str">
        <x:v>/etc/fstab описывает mount configuration</x:v>
      </x:c>
      <x:c r="H49" s="585" t="str">
        <x:v>Не вспомнилось.</x:v>
      </x:c>
    </x:row>
    <x:row r="50" ht="44" customHeight="1">
      <x:c r="A50" s="583" t="str">
        <x:v>A12</x:v>
      </x:c>
      <x:c r="B50" s="584" t="n">
        <x:v>1</x:v>
      </x:c>
      <x:c r="C50" s="584" t="n">
        <x:v>1</x:v>
      </x:c>
      <x:c r="D50" s="682" t="n">
        <x:v>100</x:v>
      </x:c>
      <x:c r="E50" s="584" t="str">
        <x:v>Да</x:v>
      </x:c>
      <x:c r="F50" s="584" t="str">
        <x:v>mount point</x:v>
      </x:c>
      <x:c r="G50" s="584" t="str">
        <x:v>—</x:v>
      </x:c>
      <x:c r="H50" s="585" t="str">
        <x:v>Верно.</x:v>
      </x:c>
    </x:row>
    <x:row r="51" ht="44" customHeight="1">
      <x:c r="A51" s="583" t="str">
        <x:v>A13</x:v>
      </x:c>
      <x:c r="B51" s="584" t="n">
        <x:v>0</x:v>
      </x:c>
      <x:c r="C51" s="584" t="n">
        <x:v>1</x:v>
      </x:c>
      <x:c r="D51" s="682" t="n">
        <x:v>0</x:v>
      </x:c>
      <x:c r="E51" s="584" t="str">
        <x:v>Нет</x:v>
      </x:c>
      <x:c r="F51" s="584" t="str">
        <x:v>—</x:v>
      </x:c>
      <x:c r="G51" s="584" t="str">
        <x:v>df показывает filesystem space usage</x:v>
      </x:c>
      <x:c r="H51" s="585" t="str">
        <x:v>Не вспомнилось.</x:v>
      </x:c>
    </x:row>
    <x:row r="52" ht="44" customHeight="1">
      <x:c r="A52" s="583" t="str">
        <x:v>A14</x:v>
      </x:c>
      <x:c r="B52" s="584" t="n">
        <x:v>0</x:v>
      </x:c>
      <x:c r="C52" s="584" t="n">
        <x:v>1</x:v>
      </x:c>
      <x:c r="D52" s="682" t="n">
        <x:v>0</x:v>
      </x:c>
      <x:c r="E52" s="584" t="str">
        <x:v>Нет</x:v>
      </x:c>
      <x:c r="F52" s="584" t="str">
        <x:v>—</x:v>
      </x:c>
      <x:c r="G52" s="584" t="str">
        <x:v>du показывает размер файлов/каталогов</x:v>
      </x:c>
      <x:c r="H52" s="585" t="str">
        <x:v>Не вспомнилось.</x:v>
      </x:c>
    </x:row>
    <x:row r="53" ht="44" customHeight="1">
      <x:c r="A53" s="583" t="str">
        <x:v>A15</x:v>
      </x:c>
      <x:c r="B53" s="584" t="n">
        <x:v>1</x:v>
      </x:c>
      <x:c r="C53" s="584" t="n">
        <x:v>1</x:v>
      </x:c>
      <x:c r="D53" s="682" t="n">
        <x:v>100</x:v>
      </x:c>
      <x:c r="E53" s="584" t="str">
        <x:v>Да</x:v>
      </x:c>
      <x:c r="F53" s="584" t="str">
        <x:v>journalctl</x:v>
      </x:c>
      <x:c r="G53" s="584" t="str">
        <x:v>—</x:v>
      </x:c>
      <x:c r="H53" s="585" t="str">
        <x:v>Верно.</x:v>
      </x:c>
    </x:row>
    <x:row r="54" ht="44" customHeight="1">
      <x:c r="A54" s="583" t="str">
        <x:v>A16</x:v>
      </x:c>
      <x:c r="B54" s="584" t="n">
        <x:v>1</x:v>
      </x:c>
      <x:c r="C54" s="584" t="n">
        <x:v>1</x:v>
      </x:c>
      <x:c r="D54" s="682" t="n">
        <x:v>100</x:v>
      </x:c>
      <x:c r="E54" s="584" t="str">
        <x:v>Да</x:v>
      </x:c>
      <x:c r="F54" s="584" t="str">
        <x:v>SSH public key auth</x:v>
      </x:c>
      <x:c r="G54" s="584" t="str">
        <x:v>—</x:v>
      </x:c>
      <x:c r="H54" s="585" t="str">
        <x:v>Верно.</x:v>
      </x:c>
    </x:row>
    <x:row r="55" ht="44" customHeight="1">
      <x:c r="A55" s="583" t="str">
        <x:v>A17</x:v>
      </x:c>
      <x:c r="B55" s="584" t="n">
        <x:v>1</x:v>
      </x:c>
      <x:c r="C55" s="584" t="n">
        <x:v>1</x:v>
      </x:c>
      <x:c r="D55" s="682" t="n">
        <x:v>100</x:v>
      </x:c>
      <x:c r="E55" s="584" t="str">
        <x:v>Да</x:v>
      </x:c>
      <x:c r="F55" s="584" t="str">
        <x:v>authorized_keys</x:v>
      </x:c>
      <x:c r="G55" s="584" t="str">
        <x:v>—</x:v>
      </x:c>
      <x:c r="H55" s="585" t="str">
        <x:v>Верно.</x:v>
      </x:c>
    </x:row>
    <x:row r="56" ht="44" customHeight="1">
      <x:c r="A56" s="583" t="str">
        <x:v>A18</x:v>
      </x:c>
      <x:c r="B56" s="584" t="n">
        <x:v>1</x:v>
      </x:c>
      <x:c r="C56" s="584" t="n">
        <x:v>1</x:v>
      </x:c>
      <x:c r="D56" s="682" t="n">
        <x:v>100</x:v>
      </x:c>
      <x:c r="E56" s="584" t="str">
        <x:v>Да</x:v>
      </x:c>
      <x:c r="F56" s="584" t="str">
        <x:v>ip addr</x:v>
      </x:c>
      <x:c r="G56" s="584" t="str">
        <x:v>—</x:v>
      </x:c>
      <x:c r="H56" s="585" t="str">
        <x:v>Верно.</x:v>
      </x:c>
    </x:row>
    <x:row r="57" ht="44" customHeight="1">
      <x:c r="A57" s="583" t="str">
        <x:v>A19</x:v>
      </x:c>
      <x:c r="B57" s="584" t="n">
        <x:v>0</x:v>
      </x:c>
      <x:c r="C57" s="584" t="n">
        <x:v>1</x:v>
      </x:c>
      <x:c r="D57" s="682" t="n">
        <x:v>0</x:v>
      </x:c>
      <x:c r="E57" s="584" t="str">
        <x:v>Нет</x:v>
      </x:c>
      <x:c r="F57" s="584" t="str">
        <x:v>—</x:v>
      </x:c>
      <x:c r="G57" s="584" t="str">
        <x:v>ss -lnt = listening TCP sockets numeric</x:v>
      </x:c>
      <x:c r="H57" s="585" t="str">
        <x:v>Не вспомнилось.</x:v>
      </x:c>
    </x:row>
    <x:row r="58" ht="44" customHeight="1">
      <x:c r="A58" s="583" t="str">
        <x:v>A20</x:v>
      </x:c>
      <x:c r="B58" s="584" t="n">
        <x:v>1</x:v>
      </x:c>
      <x:c r="C58" s="584" t="n">
        <x:v>1</x:v>
      </x:c>
      <x:c r="D58" s="682" t="n">
        <x:v>100</x:v>
      </x:c>
      <x:c r="E58" s="584" t="str">
        <x:v>Да</x:v>
      </x:c>
      <x:c r="F58" s="584" t="str">
        <x:v>load average</x:v>
      </x:c>
      <x:c r="G58" s="584" t="str">
        <x:v>—</x:v>
      </x:c>
      <x:c r="H58" s="585" t="str">
        <x:v>Верно.</x:v>
      </x:c>
    </x:row>
    <x:row r="59" ht="44" customHeight="1">
      <x:c r="A59" s="583" t="str">
        <x:v>B1</x:v>
      </x:c>
      <x:c r="B59" s="584" t="n">
        <x:v>0.8</x:v>
      </x:c>
      <x:c r="C59" s="584" t="n">
        <x:v>2</x:v>
      </x:c>
      <x:c r="D59" s="682" t="n">
        <x:v>40</x:v>
      </x:c>
      <x:c r="E59" s="584" t="str">
        <x:v>Частично</x:v>
      </x:c>
      <x:c r="F59" s="584" t="str">
        <x:v>user/group/other, numeric/symbolic permissions</x:v>
      </x:c>
      <x:c r="G59" s="584" t="str">
        <x:v>rwxr-x--- = owner rwx, group r-x, others none; x не выдаёт права</x:v>
      </x:c>
      <x:c r="H59" s="585" t="str">
        <x:v>Есть базовая рамка DAC, но semantics неверны.</x:v>
      </x:c>
    </x:row>
    <x:row r="60" ht="44" customHeight="1">
      <x:c r="A60" s="583" t="str">
        <x:v>B2</x:v>
      </x:c>
      <x:c r="B60" s="584" t="n">
        <x:v>1.6</x:v>
      </x:c>
      <x:c r="C60" s="584" t="n">
        <x:v>2</x:v>
      </x:c>
      <x:c r="D60" s="682" t="n">
        <x:v>80</x:v>
      </x:c>
      <x:c r="E60" s="584" t="str">
        <x:v>Хорошо</x:v>
      </x:c>
      <x:c r="F60" s="584" t="str">
        <x:v>chmod vs chown</x:v>
      </x:c>
      <x:c r="G60" s="584" t="str">
        <x:v>не приведены примеры</x:v>
      </x:c>
      <x:c r="H60" s="585" t="str">
        <x:v>По сути верно.</x:v>
      </x:c>
    </x:row>
    <x:row r="61" ht="44" customHeight="1">
      <x:c r="A61" s="583" t="str">
        <x:v>B3</x:v>
      </x:c>
      <x:c r="B61" s="584" t="n">
        <x:v>1.2</x:v>
      </x:c>
      <x:c r="C61" s="584" t="n">
        <x:v>2</x:v>
      </x:c>
      <x:c r="D61" s="682" t="n">
        <x:v>60</x:v>
      </x:c>
      <x:c r="E61" s="584" t="str">
        <x:v>Частично</x:v>
      </x:c>
      <x:c r="F61" s="584" t="str">
        <x:v>sudo per command; root risk</x:v>
      </x:c>
      <x:c r="G61" s="584" t="str">
        <x:v>least privilege, typo/blast radius, auditability</x:v>
      </x:c>
      <x:c r="H61" s="585" t="str">
        <x:v>Основная идея есть.</x:v>
      </x:c>
    </x:row>
    <x:row r="62" ht="44" customHeight="1">
      <x:c r="A62" s="583" t="str">
        <x:v>B4</x:v>
      </x:c>
      <x:c r="B62" s="584" t="n">
        <x:v>0.7</x:v>
      </x:c>
      <x:c r="C62" s="584" t="n">
        <x:v>2</x:v>
      </x:c>
      <x:c r="D62" s="682" t="n">
        <x:v>35</x:v>
      </x:c>
      <x:c r="E62" s="584" t="str">
        <x:v>Слабо</x:v>
      </x:c>
      <x:c r="F62" s="584" t="str">
        <x:v>service может включать процессы</x:v>
      </x:c>
      <x:c r="G62" s="584" t="str">
        <x:v>unit ≠ container; autostart зависит от enable/dependencies</x:v>
      </x:c>
      <x:c r="H62" s="585" t="str">
        <x:v>Модель systemd неточная.</x:v>
      </x:c>
    </x:row>
    <x:row r="63" ht="44" customHeight="1">
      <x:c r="A63" s="583" t="str">
        <x:v>B5</x:v>
      </x:c>
      <x:c r="B63" s="584" t="n">
        <x:v>0.9</x:v>
      </x:c>
      <x:c r="C63" s="584" t="n">
        <x:v>2</x:v>
      </x:c>
      <x:c r="D63" s="682" t="n">
        <x:v>45</x:v>
      </x:c>
      <x:c r="E63" s="584" t="str">
        <x:v>Частично</x:v>
      </x:c>
      <x:c r="F63" s="584" t="str">
        <x:v>running/sleeping/stopped</x:v>
      </x:c>
      <x:c r="G63" s="584" t="str">
        <x:v>zombie и точные состояния</x:v>
      </x:c>
      <x:c r="H63" s="585" t="str">
        <x:v>Интуитивно, но неполно.</x:v>
      </x:c>
    </x:row>
    <x:row r="64" ht="44" customHeight="1">
      <x:c r="A64" s="583" t="str">
        <x:v>B6</x:v>
      </x:c>
      <x:c r="B64" s="584" t="n">
        <x:v>0.4</x:v>
      </x:c>
      <x:c r="C64" s="584" t="n">
        <x:v>2</x:v>
      </x:c>
      <x:c r="D64" s="682" t="n">
        <x:v>20</x:v>
      </x:c>
      <x:c r="E64" s="584" t="str">
        <x:v>Слабо</x:v>
      </x:c>
      <x:c r="F64" s="584" t="str">
        <x:v>SIGKILL принудительный</x:v>
      </x:c>
      <x:c r="G64" s="584" t="str">
        <x:v>graceful SIGTERM, cleanup, flush, locks</x:v>
      </x:c>
      <x:c r="H64" s="585" t="str">
        <x:v>Почти отсутствует.</x:v>
      </x:c>
    </x:row>
    <x:row r="65" ht="44" customHeight="1">
      <x:c r="A65" s="583" t="str">
        <x:v>B7</x:v>
      </x:c>
      <x:c r="B65" s="584" t="n">
        <x:v>1</x:v>
      </x:c>
      <x:c r="C65" s="584" t="n">
        <x:v>2</x:v>
      </x:c>
      <x:c r="D65" s="682" t="n">
        <x:v>50</x:v>
      </x:c>
      <x:c r="E65" s="584" t="str">
        <x:v>Частично</x:v>
      </x:c>
      <x:c r="F65" s="584" t="str">
        <x:v>filesystem и mount point</x:v>
      </x:c>
      <x:c r="G65" s="584" t="str">
        <x:v>partition и связь block device→partition→fs→mount</x:v>
      </x:c>
      <x:c r="H65" s="585" t="str">
        <x:v>Половина модели есть.</x:v>
      </x:c>
    </x:row>
    <x:row r="66" ht="44" customHeight="1">
      <x:c r="A66" s="583" t="str">
        <x:v>B8</x:v>
      </x:c>
      <x:c r="B66" s="584" t="n">
        <x:v>0</x:v>
      </x:c>
      <x:c r="C66" s="584" t="n">
        <x:v>2</x:v>
      </x:c>
      <x:c r="D66" s="682" t="n">
        <x:v>0</x:v>
      </x:c>
      <x:c r="E66" s="584" t="str">
        <x:v>Нет</x:v>
      </x:c>
      <x:c r="F66" s="584" t="str">
        <x:v>—</x:v>
      </x:c>
      <x:c r="G66" s="584" t="str">
        <x:v>df vs du, open deleted files, reserved blocks</x:v>
      </x:c>
      <x:c r="H66" s="585" t="str">
        <x:v>Нет ответа.</x:v>
      </x:c>
    </x:row>
    <x:row r="67" ht="44" customHeight="1">
      <x:c r="A67" s="583" t="str">
        <x:v>B9</x:v>
      </x:c>
      <x:c r="B67" s="584" t="n">
        <x:v>1.6</x:v>
      </x:c>
      <x:c r="C67" s="584" t="n">
        <x:v>2</x:v>
      </x:c>
      <x:c r="D67" s="682" t="n">
        <x:v>80</x:v>
      </x:c>
      <x:c r="E67" s="584" t="str">
        <x:v>Хорошо</x:v>
      </x:c>
      <x:c r="F67" s="584" t="str">
        <x:v>network→firewall→sshd→auth</x:v>
      </x:c>
      <x:c r="G67" s="584" t="str">
        <x:v>порт/listener, client verbose logs, server auth logs</x:v>
      </x:c>
      <x:c r="H67" s="585" t="str">
        <x:v>Хорошая последовательность.</x:v>
      </x:c>
    </x:row>
    <x:row r="68" ht="44" customHeight="1">
      <x:c r="A68" s="583" t="str">
        <x:v>B10</x:v>
      </x:c>
      <x:c r="B68" s="584" t="n">
        <x:v>0.8</x:v>
      </x:c>
      <x:c r="C68" s="584" t="n">
        <x:v>2</x:v>
      </x:c>
      <x:c r="D68" s="682" t="n">
        <x:v>40</x:v>
      </x:c>
      <x:c r="E68" s="584" t="str">
        <x:v>Частично</x:v>
      </x:c>
      <x:c r="F68" s="584" t="str">
        <x:v>понимает localhost bind</x:v>
      </x:c>
      <x:c r="G68" s="584" t="str">
        <x:v>не различены no ICMP reachability и TCP refused/closed</x:v>
      </x:c>
      <x:c r="H68" s="585" t="str">
        <x:v>Смысл третьего сценария есть.</x:v>
      </x:c>
    </x:row>
    <x:row r="69" ht="44" customHeight="1">
      <x:c r="A69" s="583" t="str">
        <x:v>C1</x:v>
      </x:c>
      <x:c r="B69" s="584" t="n">
        <x:v>1.8</x:v>
      </x:c>
      <x:c r="C69" s="584" t="n">
        <x:v>5</x:v>
      </x:c>
      <x:c r="D69" s="682" t="n">
        <x:v>36</x:v>
      </x:c>
      <x:c r="E69" s="584" t="str">
        <x:v>Слабо</x:v>
      </x:c>
      <x:c r="F69" s="584" t="str">
        <x:v>PID, env, permissions, termination</x:v>
      </x:c>
      <x:c r="G69" s="584" t="str">
        <x:v>shell parse, fork/exec, fd inheritance/open files</x:v>
      </x:c>
      <x:c r="H69" s="585" t="str">
        <x:v>Фрагменты процесса есть.</x:v>
      </x:c>
    </x:row>
    <x:row r="70" ht="44" customHeight="1">
      <x:c r="A70" s="583" t="str">
        <x:v>C2</x:v>
      </x:c>
      <x:c r="B70" s="584" t="n">
        <x:v>1.5</x:v>
      </x:c>
      <x:c r="C70" s="584" t="n">
        <x:v>5</x:v>
      </x:c>
      <x:c r="D70" s="682" t="n">
        <x:v>30</x:v>
      </x:c>
      <x:c r="E70" s="584" t="str">
        <x:v>Слабо</x:v>
      </x:c>
      <x:c r="F70" s="584" t="str">
        <x:v>user/group/other, numeric perms</x:v>
      </x:c>
      <x:c r="G70" s="584" t="str">
        <x:v>x semantics, sudo/root, directories</x:v>
      </x:c>
      <x:c r="H70" s="585" t="str">
        <x:v>Есть серьезные неправильные модели.</x:v>
      </x:c>
    </x:row>
    <x:row r="71" ht="44" customHeight="1">
      <x:c r="A71" s="583" t="str">
        <x:v>C3</x:v>
      </x:c>
      <x:c r="B71" s="584" t="n">
        <x:v>1.8</x:v>
      </x:c>
      <x:c r="C71" s="584" t="n">
        <x:v>5</x:v>
      </x:c>
      <x:c r="D71" s="682" t="n">
        <x:v>36</x:v>
      </x:c>
      <x:c r="E71" s="584" t="str">
        <x:v>Слабо</x:v>
      </x:c>
      <x:c r="F71" s="584" t="str">
        <x:v>start/stop/restart, logs, exit code</x:v>
      </x:c>
      <x:c r="G71" s="584" t="str">
        <x:v>unit file, enable, deps, status/journal workflow</x:v>
      </x:c>
      <x:c r="H71" s="585" t="str">
        <x:v>База systemd частичная.</x:v>
      </x:c>
    </x:row>
    <x:row r="72" ht="44" customHeight="1">
      <x:c r="A72" s="583" t="str">
        <x:v>C4</x:v>
      </x:c>
      <x:c r="B72" s="584" t="n">
        <x:v>1.5</x:v>
      </x:c>
      <x:c r="C72" s="584" t="n">
        <x:v>5</x:v>
      </x:c>
      <x:c r="D72" s="682" t="n">
        <x:v>30</x:v>
      </x:c>
      <x:c r="E72" s="584" t="str">
        <x:v>Слабо</x:v>
      </x:c>
      <x:c r="F72" s="584" t="str">
        <x:v>mount, filesystem, open deleted file idea</x:v>
      </x:c>
      <x:c r="G72" s="584" t="str">
        <x:v>block device, partition, fstab, inode meaning/ENOSPC</x:v>
      </x:c>
      <x:c r="H72" s="585" t="str">
        <x:v>Storage почти с базового уровня.</x:v>
      </x:c>
    </x:row>
    <x:row r="73" ht="44" customHeight="1">
      <x:c r="A73" s="583" t="str">
        <x:v>D1</x:v>
      </x:c>
      <x:c r="B73" s="584" t="n">
        <x:v>2</x:v>
      </x:c>
      <x:c r="C73" s="584" t="n">
        <x:v>5</x:v>
      </x:c>
      <x:c r="D73" s="682" t="n">
        <x:v>40</x:v>
      </x:c>
      <x:c r="E73" s="584" t="str">
        <x:v>Частично</x:v>
      </x:c>
      <x:c r="F73" s="584" t="str">
        <x:v>group, mkdir, chown, chmod approach</x:v>
      </x:c>
      <x:c r="G73" s="584" t="str">
        <x:v>groupadd/usermod -aG; chmod 770; syntax/order</x:v>
      </x:c>
      <x:c r="H73" s="585" t="str">
        <x:v>Логика есть, реализация неточная.</x:v>
      </x:c>
    </x:row>
    <x:row r="74" ht="44" customHeight="1">
      <x:c r="A74" s="583" t="str">
        <x:v>D2</x:v>
      </x:c>
      <x:c r="B74" s="584" t="n">
        <x:v>2.5</x:v>
      </x:c>
      <x:c r="C74" s="584" t="n">
        <x:v>5</x:v>
      </x:c>
      <x:c r="D74" s="682" t="n">
        <x:v>50</x:v>
      </x:c>
      <x:c r="E74" s="584" t="str">
        <x:v>Средне</x:v>
      </x:c>
      <x:c r="F74" s="584" t="str">
        <x:v>systemctl status, ss, grep port, logs idea</x:v>
      </x:c>
      <x:c r="G74" s="584" t="str">
        <x:v>PID/process check, bind address, journalctl -u, exit status</x:v>
      </x:c>
      <x:c r="H74" s="585" t="str">
        <x:v>Диагностический скелет есть.</x:v>
      </x:c>
    </x:row>
    <x:row r="75" ht="44" customHeight="1">
      <x:c r="A75" s="583" t="str">
        <x:v>D3</x:v>
      </x:c>
      <x:c r="B75" s="584" t="n">
        <x:v>0.5</x:v>
      </x:c>
      <x:c r="C75" s="584" t="n">
        <x:v>5</x:v>
      </x:c>
      <x:c r="D75" s="682" t="n">
        <x:v>10</x:v>
      </x:c>
      <x:c r="E75" s="584" t="str">
        <x:v>Очень слабо</x:v>
      </x:c>
      <x:c r="F75" s="584" t="str">
        <x:v>open deleted file phenomenon</x:v>
      </x:c>
      <x:c r="G75" s="584" t="str">
        <x:v>df -h, du, df -i, lsof +L1, safe cleanup</x:v>
      </x:c>
      <x:c r="H75" s="585" t="str">
        <x:v>Почти не выполнено.</x:v>
      </x:c>
    </x:row>
    <x:row r="76" ht="44" customHeight="1">
      <x:c r="A76" s="583" t="str">
        <x:v>D4</x:v>
      </x:c>
      <x:c r="B76" s="584" t="n">
        <x:v>1.5</x:v>
      </x:c>
      <x:c r="C76" s="584" t="n">
        <x:v>5</x:v>
      </x:c>
      <x:c r="D76" s="682" t="n">
        <x:v>30</x:v>
      </x:c>
      <x:c r="E76" s="584" t="str">
        <x:v>Слабо</x:v>
      </x:c>
      <x:c r="F76" s="584" t="str">
        <x:v>authorized_keys, sshd config/logs</x:v>
      </x:c>
      <x:c r="G76" s="584" t="str">
        <x:v>client private key, ssh-keygen, ownership/mode 700/600, ssh -v</x:v>
      </x:c>
      <x:c r="H76" s="585" t="str">
        <x:v>Интуиция есть, практических деталей мало.</x:v>
      </x:c>
    </x:row>
    <x:row r="77" ht="44" customHeight="1">
      <x:c r="A77" s="583" t="str">
        <x:v>E1</x:v>
      </x:c>
      <x:c r="B77" s="584" t="n">
        <x:v>1.8</x:v>
      </x:c>
      <x:c r="C77" s="584" t="n">
        <x:v>3</x:v>
      </x:c>
      <x:c r="D77" s="682" t="n">
        <x:v>60</x:v>
      </x:c>
      <x:c r="E77" s="584" t="str">
        <x:v>Средне</x:v>
      </x:c>
      <x:c r="F77" s="584" t="str">
        <x:v>disk, RAM/swap, listener, load</x:v>
      </x:c>
      <x:c r="G77" s="584" t="str">
        <x:v>не названо 5 полных причин; update/config/leak/log growth</x:v>
      </x:c>
      <x:c r="H77" s="585" t="str">
        <x:v>Связь симптомов частично хорошая.</x:v>
      </x:c>
    </x:row>
    <x:row r="78" ht="44" customHeight="1">
      <x:c r="A78" s="583" t="str">
        <x:v>E2</x:v>
      </x:c>
      <x:c r="B78" s="584" t="n">
        <x:v>0.7</x:v>
      </x:c>
      <x:c r="C78" s="584" t="n">
        <x:v>3</x:v>
      </x:c>
      <x:c r="D78" s="682" t="n">
        <x:v>23</x:v>
      </x:c>
      <x:c r="E78" s="584" t="str">
        <x:v>Слабо</x:v>
      </x:c>
      <x:c r="F78" s="584" t="str">
        <x:v>log growth и open deleted files</x:v>
      </x:c>
      <x:c r="G78" s="584" t="str">
        <x:v>конкретные df/du/df -i/lsof проверки</x:v>
      </x:c>
      <x:c r="H78" s="585" t="str">
        <x:v>Нет диагностического плана.</x:v>
      </x:c>
    </x:row>
    <x:row r="79" ht="44" customHeight="1">
      <x:c r="A79" s="583" t="str">
        <x:v>E3</x:v>
      </x:c>
      <x:c r="B79" s="584" t="n">
        <x:v>0.8</x:v>
      </x:c>
      <x:c r="C79" s="584" t="n">
        <x:v>3</x:v>
      </x:c>
      <x:c r="D79" s="682" t="n">
        <x:v>27</x:v>
      </x:c>
      <x:c r="E79" s="584" t="str">
        <x:v>Слабо</x:v>
      </x:c>
      <x:c r="F79" s="584" t="str">
        <x:v>top и memory utilization</x:v>
      </x:c>
      <x:c r="G79" s="584" t="str">
        <x:v>free/vmstat/swap, journal/dmesg OOM, sort processes</x:v>
      </x:c>
      <x:c r="H79" s="585" t="str">
        <x:v>Слишком общо.</x:v>
      </x:c>
    </x:row>
    <x:row r="80" ht="44" customHeight="1">
      <x:c r="A80" s="583" t="str">
        <x:v>E4</x:v>
      </x:c>
      <x:c r="B80" s="584" t="n">
        <x:v>0</x:v>
      </x:c>
      <x:c r="C80" s="584" t="n">
        <x:v>3</x:v>
      </x:c>
      <x:c r="D80" s="682" t="n">
        <x:v>0</x:v>
      </x:c>
      <x:c r="E80" s="584" t="str">
        <x:v>Нет</x:v>
      </x:c>
      <x:c r="F80" s="584" t="str">
        <x:v>—</x:v>
      </x:c>
      <x:c r="G80" s="584" t="str">
        <x:v>systemctl status/cat/show, journalctl -u, restart policy, dependencies</x:v>
      </x:c>
      <x:c r="H80" s="585" t="str">
        <x:v>Нет ответа.</x:v>
      </x:c>
    </x:row>
    <x:row r="81" ht="44" customHeight="1">
      <x:c r="A81" s="583" t="str">
        <x:v>E5</x:v>
      </x:c>
      <x:c r="B81" s="584" t="n">
        <x:v>2.2</x:v>
      </x:c>
      <x:c r="C81" s="584" t="n">
        <x:v>3</x:v>
      </x:c>
      <x:c r="D81" s="682" t="n">
        <x:v>73</x:v>
      </x:c>
      <x:c r="E81" s="584" t="str">
        <x:v>Хорошо</x:v>
      </x:c>
      <x:c r="F81" s="584" t="str">
        <x:v>process vs listener vs firewall</x:v>
      </x:c>
      <x:c r="G81" s="584" t="str">
        <x:v>добавить local curl/nc и bind address</x:v>
      </x:c>
      <x:c r="H81" s="585" t="str">
        <x:v>Один из лучших ответов кейса.</x:v>
      </x:c>
    </x:row>
    <x:row r="82" ht="44" customHeight="1">
      <x:c r="A82" s="583" t="str">
        <x:v>E6</x:v>
      </x:c>
      <x:c r="B82" s="584" t="n">
        <x:v>2.3</x:v>
      </x:c>
      <x:c r="C82" s="584" t="n">
        <x:v>3</x:v>
      </x:c>
      <x:c r="D82" s="682" t="n">
        <x:v>77</x:v>
      </x:c>
      <x:c r="E82" s="584" t="str">
        <x:v>Хорошо</x:v>
      </x:c>
      <x:c r="F82" s="584" t="str">
        <x:v>cron restart — только временный костыль</x:v>
      </x:c>
      <x:c r="G82" s="584" t="str">
        <x:v>лучше systemd Restart= policy + root cause remediation</x:v>
      </x:c>
      <x:c r="H82" s="585" t="str">
        <x:v>Правильная инженерная позиция.</x:v>
      </x:c>
    </x:row>
    <x:row r="83" ht="44" customHeight="1">
      <x:c r="A83" s="586" t="str">
        <x:v>E7</x:v>
      </x:c>
      <x:c r="B83" s="587" t="n">
        <x:v>0.8</x:v>
      </x:c>
      <x:c r="C83" s="587" t="n">
        <x:v>2</x:v>
      </x:c>
      <x:c r="D83" s="683" t="n">
        <x:v>40</x:v>
      </x:c>
      <x:c r="E83" s="587" t="str">
        <x:v>Частично</x:v>
      </x:c>
      <x:c r="F83" s="587" t="str">
        <x:v>сначала диагностика, не kill/rm наугад</x:v>
      </x:c>
      <x:c r="G83" s="587" t="str">
        <x:v>нужна конкретная последовательность и safe mitigations</x:v>
      </x:c>
      <x:c r="H83" s="588" t="str">
        <x:v>Правильная осторожность, но план общий.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{05CD431A-76D7-7A3D-B874-19AEB65A2E7A}</x14:id>
        </x:ext>
      </x:extLst>
    </x:cfRule>
  </x:conditionalFormatting>
  <x:conditionalFormatting sqref="C20:C26">
    <x:cfRule type="expression" dxfId="10" priority="2">
      <x:formula>C20="Критический"</x:formula>
    </x:cfRule>
    <x:cfRule type="expression" dxfId="11" priority="3">
      <x:formula>C20="Высокий"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5CD431A-76D7-7A3D-B874-19AEB65A2E7A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0" hidden="0" customWidth="1"/>
    <x:col min="5" max="5" width="18" hidden="0" customWidth="1"/>
    <x:col min="6" max="6" width="35" hidden="0" customWidth="1"/>
    <x:col min="7" max="7" width="42" hidden="0" customWidth="1"/>
    <x:col min="8" max="8" width="38" hidden="0" customWidth="1"/>
  </x:cols>
  <x:sheetData>
    <x:row r="1">
      <x:c r="A1" s="726" t="str">
        <x:v>ЭКЗАМЕН №4 · РАЗБОР И ДИАГНОСТИКА</x:v>
      </x:c>
      <x:c r="B1" s="726"/>
      <x:c r="C1" s="726"/>
      <x:c r="D1" s="726"/>
      <x:c r="E1" s="726"/>
      <x:c r="F1" s="726"/>
      <x:c r="G1" s="726"/>
      <x:c r="H1" s="726"/>
    </x:row>
    <x:row r="2">
      <x:c r="A2" s="726"/>
      <x:c r="B2" s="726"/>
      <x:c r="C2" s="726"/>
      <x:c r="D2" s="726"/>
      <x:c r="E2" s="726"/>
      <x:c r="F2" s="726"/>
      <x:c r="G2" s="726"/>
      <x:c r="H2" s="726"/>
    </x:row>
    <x:row r="3">
      <x:c r="A3" s="729" t="str">
        <x:v>Networks &amp; Network Security · 20.08.2026 · строгая оценка baseline</x:v>
      </x:c>
      <x:c r="B3" s="729"/>
      <x:c r="C3" s="729"/>
      <x:c r="D3" s="729"/>
      <x:c r="E3" s="729"/>
      <x:c r="F3" s="729"/>
      <x:c r="G3" s="729"/>
      <x:c r="H3" s="729"/>
    </x:row>
    <x:row r="5">
      <x:c r="A5" s="734" t="str">
        <x:v>Блок</x:v>
      </x:c>
      <x:c r="B5" s="734" t="str">
        <x:v>Макс.</x:v>
      </x:c>
      <x:c r="C5" s="734" t="str">
        <x:v>Балл</x:v>
      </x:c>
      <x:c r="D5" s="734" t="str">
        <x:v>%</x:v>
      </x:c>
      <x:c r="E5" s="734" t="str">
        <x:v>Оценка</x:v>
      </x:c>
      <x:c r="F5" s="734" t="str">
        <x:v>Что получилось</x:v>
      </x:c>
      <x:c r="G5" s="734" t="str">
        <x:v>Главный пробел</x:v>
      </x:c>
      <x:c r="H5" s="734" t="str">
        <x:v>Диагностический вывод</x:v>
      </x:c>
    </x:row>
    <x:row r="6" ht="90" customHeight="1">
      <x:c r="A6" s="735" t="str">
        <x:v>A · Тест</x:v>
      </x:c>
      <x:c r="B6" s="736" t="n">
        <x:v>20</x:v>
      </x:c>
      <x:c r="C6" s="736" t="n">
        <x:v>20</x:v>
      </x:c>
      <x:c r="D6" s="743" t="n">
        <x:v>100</x:v>
      </x:c>
      <x:c r="E6" s="736" t="str">
        <x:v>Отлично</x:v>
      </x:c>
      <x:c r="F6" s="736" t="str">
        <x:v>Все 20 вопросов верны, включая ARP, routing, subnetting, NAT, firewall и VPN.</x:v>
      </x:c>
      <x:c r="G6" s="736" t="str">
        <x:v>На A11 longest-prefix confidence 0/3: знание есть, но не всегда уверенно маркируется.</x:v>
      </x:c>
      <x:c r="H6" s="737" t="str">
        <x:v>Сетевой vocabulary и recognition — сильная сторона.</x:v>
      </x:c>
    </x:row>
    <x:row r="7" ht="90" customHeight="1">
      <x:c r="A7" s="738" t="str">
        <x:v>B · Короткие</x:v>
      </x:c>
      <x:c r="B7" s="584" t="n">
        <x:v>20</x:v>
      </x:c>
      <x:c r="C7" s="584" t="n">
        <x:v>14.2</x:v>
      </x:c>
      <x:c r="D7" s="590" t="n">
        <x:v>71</x:v>
      </x:c>
      <x:c r="E7" s="584" t="str">
        <x:v>Хорошо</x:v>
      </x:c>
      <x:c r="F7" s="584" t="str">
        <x:v>Same/remote subnet, trunk, STP, NAT, DNS/DHCP и layered troubleshooting объясняются своими словами.</x:v>
      </x:c>
      <x:c r="G7" s="584" t="str">
        <x:v>Collision domain, root bridge, native VLAN и детали stateful filtering раскрыты неполно.</x:v>
      </x:c>
      <x:c r="H7" s="739" t="str">
        <x:v>Свободное сетевое воспроизведение заметно выше предыдущих областей.</x:v>
      </x:c>
    </x:row>
    <x:row r="8" ht="90" customHeight="1">
      <x:c r="A8" s="738" t="str">
        <x:v>C · Развернутые</x:v>
      </x:c>
      <x:c r="B8" s="584" t="n">
        <x:v>20</x:v>
      </x:c>
      <x:c r="C8" s="584" t="n">
        <x:v>10.8</x:v>
      </x:c>
      <x:c r="D8" s="590" t="n">
        <x:v>54</x:v>
      </x:c>
      <x:c r="E8" s="584" t="str">
        <x:v>Средне</x:v>
      </x:c>
      <x:c r="F8" s="584" t="str">
        <x:v>VLAN security смысл и LAN→HTTPS path в целом понимаются.</x:v>
      </x:c>
      <x:c r="G8" s="584" t="str">
        <x:v>Packet header rewrite и роли STP/LACP/VRRP путаются; inter-VLAN routing сформулирован неточно.</x:v>
      </x:c>
      <x:c r="H8" s="739" t="str">
        <x:v>Глубина сети пока отстает от эксплуатационной уверенности.</x:v>
      </x:c>
    </x:row>
    <x:row r="9" ht="90" customHeight="1">
      <x:c r="A9" s="738" t="str">
        <x:v>D · Практика</x:v>
      </x:c>
      <x:c r="B9" s="584" t="n">
        <x:v>20</x:v>
      </x:c>
      <x:c r="C9" s="584" t="n">
        <x:v>15.5</x:v>
      </x:c>
      <x:c r="D9" s="590" t="n">
        <x:v>77.5</x:v>
      </x:c>
      <x:c r="E9" s="584" t="str">
        <x:v>Хорошо</x:v>
      </x:c>
      <x:c r="F9" s="584" t="str">
        <x:v>Subnetting выполнен полностью; longest-prefix routing — почти полностью; VLAN/trunk intent правильный.</x:v>
      </x:c>
      <x:c r="G9" s="584" t="str">
        <x:v>Trunk CLI/tagging и stateful firewall semantics требуют точности.</x:v>
      </x:c>
      <x:c r="H9" s="739" t="str">
        <x:v>Практическая сеть — самая сильная часть текущего baseline.</x:v>
      </x:c>
    </x:row>
    <x:row r="10" ht="90" customHeight="1">
      <x:c r="A10" s="740" t="str">
        <x:v>E · Инженерный кейс</x:v>
      </x:c>
      <x:c r="B10" s="741" t="n">
        <x:v>20</x:v>
      </x:c>
      <x:c r="C10" s="741" t="n">
        <x:v>10.3</x:v>
      </x:c>
      <x:c r="D10" s="744" t="n">
        <x:v>51.5</x:v>
      </x:c>
      <x:c r="E10" s="741" t="str">
        <x:v>Средне</x:v>
      </x:c>
      <x:c r="F10" s="741" t="str">
        <x:v>Есть полезные проверки access/trunk/STP, TCP/443, firewall logs и осторожность перед изменениями.</x:v>
      </x:c>
      <x:c r="G10" s="741" t="str">
        <x:v>В сложной отказоустойчивости смешиваются MAC flap, LACP, VRRP и multi-chassis роли; гипотез мало.</x:v>
      </x:c>
      <x:c r="H10" s="742" t="str">
        <x:v>Реальный опыт помогает, но сложные failure modes требуют систематизации.</x:v>
      </x:c>
    </x:row>
    <x:row r="12">
      <x:c r="A12" s="746" t="str">
        <x:v>Итог</x:v>
      </x:c>
      <x:c r="B12" s="746"/>
      <x:c r="C12" s="746"/>
      <x:c r="D12" s="746"/>
      <x:c r="E12" s="746"/>
      <x:c r="F12" s="746"/>
      <x:c r="G12" s="746"/>
      <x:c r="H12" s="746"/>
    </x:row>
    <x:row r="13">
      <x:c r="A13" s="748" t="str">
        <x:v>Итоговый балл</x:v>
      </x:c>
      <x:c r="B13" s="757" t="n">
        <x:v>70.8</x:v>
      </x:c>
      <x:c r="D13" s="779" t="str">
        <x:v>Главный вывод: сети впервые выглядят не как область, которую нужно собирать почти с нуля, а как уже существующий рабочий фундамент. Ты уверенно решаешь subnetting, route selection, VLAN/NAT/firewall basics и мыслишь диагностикой по слоям. Но ранг 2.3/5, а не 3+, потому что в сложных вопросах еще нет стабильной точной модели packet flow и механизмов redundancy. То есть сети нужно углублять и систематизировать, а не переучивать.</x:v>
      </x:c>
      <x:c r="E13" s="780"/>
      <x:c r="F13" s="780"/>
      <x:c r="G13" s="780"/>
      <x:c r="H13" s="781"/>
    </x:row>
    <x:row r="14">
      <x:c r="A14" s="749" t="str">
        <x:v>Подтвержденный общий ранг</x:v>
      </x:c>
      <x:c r="B14" s="758" t="n">
        <x:v>2.3</x:v>
      </x:c>
      <x:c r="D14" s="782"/>
      <x:c r="E14" s="783"/>
      <x:c r="F14" s="783"/>
      <x:c r="G14" s="783"/>
      <x:c r="H14" s="784"/>
    </x:row>
    <x:row r="15">
      <x:c r="A15" s="749" t="str">
        <x:v>Фактическое время</x:v>
      </x:c>
      <x:c r="B15" s="755" t="str">
        <x:v>не указано в работе</x:v>
      </x:c>
      <x:c r="D15" s="782"/>
      <x:c r="E15" s="783"/>
      <x:c r="F15" s="783"/>
      <x:c r="G15" s="783"/>
      <x:c r="H15" s="784"/>
    </x:row>
    <x:row r="16">
      <x:c r="A16" s="749" t="str">
        <x:v>Место среди 4 экзаменов</x:v>
      </x:c>
      <x:c r="B16" s="755" t="str">
        <x:v>1-е</x:v>
      </x:c>
      <x:c r="D16" s="782"/>
      <x:c r="E16" s="783"/>
      <x:c r="F16" s="783"/>
      <x:c r="G16" s="783"/>
      <x:c r="H16" s="784"/>
    </x:row>
    <x:row r="17">
      <x:c r="A17" s="750" t="str">
        <x:v>Разрыв с Exam 02</x:v>
      </x:c>
      <x:c r="B17" s="756" t="str">
        <x:v>+8,4 п.п.</x:v>
      </x:c>
      <x:c r="D17" s="785"/>
      <x:c r="E17" s="786"/>
      <x:c r="F17" s="786"/>
      <x:c r="G17" s="786"/>
      <x:c r="H17" s="787"/>
    </x:row>
    <x:row r="19">
      <x:c r="A19" s="746" t="str">
        <x:v>Подтвержденные ранги по поднавыкам</x:v>
      </x:c>
      <x:c r="B19" s="746"/>
      <x:c r="C19" s="746"/>
      <x:c r="D19" s="746"/>
      <x:c r="E19" s="746"/>
      <x:c r="F19" s="746"/>
      <x:c r="G19" s="746"/>
      <x:c r="H19" s="746"/>
    </x:row>
    <x:row r="20">
      <x:c r="A20" s="734" t="str">
        <x:v>Навык</x:v>
      </x:c>
      <x:c r="B20" s="734" t="str">
        <x:v>Ранг 0–5</x:v>
      </x:c>
      <x:c r="C20" s="734" t="str">
        <x:v>Приоритет</x:v>
      </x:c>
      <x:c r="D20" s="734" t="str">
        <x:v>Комментарий</x:v>
      </x:c>
    </x:row>
    <x:row r="21" ht="44" customHeight="1">
      <x:c r="A21" s="804" t="str">
        <x:v>TCP/IP + packet flow</x:v>
      </x:c>
      <x:c r="B21" s="805" t="n">
        <x:v>2.1</x:v>
      </x:c>
      <x:c r="C21" s="805" t="str">
        <x:v>Высокий</x:v>
      </x:c>
      <x:c r="D21" s="806" t="str">
        <x:v>Фундамент есть; MAC/IP rewrite и ARP path нужно углубить.</x:v>
      </x:c>
    </x:row>
    <x:row r="22" ht="44" customHeight="1">
      <x:c r="A22" s="807" t="str">
        <x:v>Switching / VLAN / STP / LAG</x:v>
      </x:c>
      <x:c r="B22" s="657" t="n">
        <x:v>2.3</x:v>
      </x:c>
      <x:c r="C22" s="657" t="str">
        <x:v>Высокий</x:v>
      </x:c>
      <x:c r="D22" s="808" t="str">
        <x:v>Хороший прикладной уровень, но смешение LACP/MLAG/VRRP.</x:v>
      </x:c>
    </x:row>
    <x:row r="23" ht="44" customHeight="1">
      <x:c r="A23" s="807" t="str">
        <x:v>Routing / subnetting / inter-VLAN</x:v>
      </x:c>
      <x:c r="B23" s="657" t="n">
        <x:v>2.7</x:v>
      </x:c>
      <x:c r="C23" s="657" t="str">
        <x:v>Средний</x:v>
      </x:c>
      <x:c r="D23" s="808" t="str">
        <x:v>Самая сильная техническая подветка экзамена.</x:v>
      </x:c>
    </x:row>
    <x:row r="24" ht="44" customHeight="1">
      <x:c r="A24" s="807" t="str">
        <x:v>DNS / DHCP / NAT</x:v>
      </x:c>
      <x:c r="B24" s="657" t="n">
        <x:v>2.6</x:v>
      </x:c>
      <x:c r="C24" s="657" t="str">
        <x:v>Средний</x:v>
      </x:c>
      <x:c r="D24" s="808" t="str">
        <x:v>Хорошо на прикладном уровне.</x:v>
      </x:c>
    </x:row>
    <x:row r="25" ht="44" customHeight="1">
      <x:c r="A25" s="807" t="str">
        <x:v>Firewall / ACL / stateful</x:v>
      </x:c>
      <x:c r="B25" s="657" t="n">
        <x:v>2.2</x:v>
      </x:c>
      <x:c r="C25" s="657" t="str">
        <x:v>Высокий</x:v>
      </x:c>
      <x:c r="D25" s="808" t="str">
        <x:v>Policy понимается, state tracking пока не используется уверенно.</x:v>
      </x:c>
    </x:row>
    <x:row r="26" ht="44" customHeight="1">
      <x:c r="A26" s="807" t="str">
        <x:v>VPN / secure networking</x:v>
      </x:c>
      <x:c r="B26" s="657" t="n">
        <x:v>2</x:v>
      </x:c>
      <x:c r="C26" s="657" t="str">
        <x:v>Высокий</x:v>
      </x:c>
      <x:c r="D26" s="808" t="str">
        <x:v>Назначение знает, но глубокого доказательства в этом экзамене мало.</x:v>
      </x:c>
    </x:row>
    <x:row r="27" ht="44" customHeight="1">
      <x:c r="A27" s="809" t="str">
        <x:v>Network troubleshooting</x:v>
      </x:c>
      <x:c r="B27" s="810" t="n">
        <x:v>2.3</x:v>
      </x:c>
      <x:c r="C27" s="810" t="str">
        <x:v>Высокий</x:v>
      </x:c>
      <x:c r="D27" s="811" t="str">
        <x:v>Layered approach хороший; complex redundancy требует точности.</x:v>
      </x:c>
    </x:row>
    <x:row r="29">
      <x:c r="A29" s="746" t="str">
        <x:v>Ключевые диагностические сигналы</x:v>
      </x:c>
      <x:c r="B29" s="746"/>
      <x:c r="C29" s="746"/>
      <x:c r="D29" s="746"/>
      <x:c r="E29" s="746"/>
      <x:c r="F29" s="746"/>
      <x:c r="G29" s="746"/>
      <x:c r="H29" s="746"/>
    </x:row>
    <x:row r="30" ht="58" customHeight="1">
      <x:c r="A30" s="815" t="str">
        <x:v>1</x:v>
      </x:c>
      <x:c r="B30" s="820" t="str">
        <x:v>Рабочий опыт реально конвертировался в навык</x:v>
      </x:c>
      <x:c r="C30" s="821"/>
      <x:c r="D30" s="828" t="str">
        <x:v>В отличие от первых экзаменов, здесь закрытый тест, свободные ответы и практика все дают хороший результат. Это уже не просто recognition.</x:v>
      </x:c>
      <x:c r="E30" s="829"/>
      <x:c r="F30" s="829"/>
      <x:c r="G30" s="829"/>
      <x:c r="H30" s="830"/>
    </x:row>
    <x:row r="31" ht="58" customHeight="1">
      <x:c r="A31" s="815" t="str">
        <x:v>2</x:v>
      </x:c>
      <x:c r="B31" s="820" t="str">
        <x:v>Subnetting и route selection — подтвержденная сильная зона</x:v>
      </x:c>
      <x:c r="C31" s="821"/>
      <x:c r="D31" s="828" t="str">
        <x:v>D1 выполнен полностью правильно; D3 выбрал все next-hop корректно и своими словами описал longest-prefix match.</x:v>
      </x:c>
      <x:c r="E31" s="829"/>
      <x:c r="F31" s="829"/>
      <x:c r="G31" s="829"/>
      <x:c r="H31" s="830"/>
    </x:row>
    <x:row r="32" ht="58" customHeight="1">
      <x:c r="A32" s="815" t="str">
        <x:v>3</x:v>
      </x:c>
      <x:c r="B32" s="820" t="str">
        <x:v>Главная концептуальная ошибка — packet rewrite</x:v>
      </x:c>
      <x:c r="C32" s="821"/>
      <x:c r="D32" s="828" t="str">
        <x:v>В C1 написано, что gateway меняет source/destination MAC и IP. Без NAT IP end-points сохраняются; Ethernet MAC header строится заново на каждом L3 hop.</x:v>
      </x:c>
      <x:c r="E32" s="829"/>
      <x:c r="F32" s="829"/>
      <x:c r="G32" s="829"/>
      <x:c r="H32" s="830"/>
    </x:row>
    <x:row r="33" ht="58" customHeight="1">
      <x:c r="A33" s="815" t="str">
        <x:v>4</x:v>
      </x:c>
      <x:c r="B33" s="820" t="str">
        <x:v>LACP, VRRP и multi-chassis redundancy смешаны</x:v>
      </x:c>
      <x:c r="C33" s="821"/>
      <x:c r="D33" s="828" t="str">
        <x:v>VRRP выбирает active gateway/FHRP role и обычно выигрывает более высокий priority; LACP договаривает физические links внутри LAG. Это разные control planes.</x:v>
      </x:c>
      <x:c r="E33" s="829"/>
      <x:c r="F33" s="829"/>
      <x:c r="G33" s="829"/>
      <x:c r="H33" s="830"/>
    </x:row>
    <x:row r="34" ht="58" customHeight="1">
      <x:c r="A34" s="815" t="str">
        <x:v>5</x:v>
      </x:c>
      <x:c r="B34" s="820" t="str">
        <x:v>Firewall knowledge хорошее, но пока ближе к ACL</x:v>
      </x:c>
      <x:c r="C34" s="821"/>
      <x:c r="D34" s="828" t="str">
        <x:v>В D4 ты вручную разрешил обратный TCP-поток. Stateful firewall обычно разрешает ESTABLISHED/RELATED по connection state, а не зеркальным правилом.</x:v>
      </x:c>
      <x:c r="E34" s="829"/>
      <x:c r="F34" s="829"/>
      <x:c r="G34" s="829"/>
      <x:c r="H34" s="830"/>
    </x:row>
    <x:row r="35" ht="58" customHeight="1">
      <x:c r="A35" s="815" t="str">
        <x:v>6</x:v>
      </x:c>
      <x:c r="B35" s="820" t="str">
        <x:v>Troubleshooting mindset — реальная сильная черта</x:v>
      </x:c>
      <x:c r="C35" s="821"/>
      <x:c r="D35" s="828" t="str">
        <x:v>B10 и E8 показывают правильный принцип: сначала собирать evidence по слоям, делать backup и только затем менять конфигурацию.</x:v>
      </x:c>
      <x:c r="E35" s="829"/>
      <x:c r="F35" s="829"/>
      <x:c r="G35" s="829"/>
      <x:c r="H35" s="830"/>
    </x:row>
    <x:row r="38">
      <x:c r="A38" s="746" t="str">
        <x:v>Проверка по каждому заданию</x:v>
      </x:c>
      <x:c r="B38" s="746"/>
      <x:c r="C38" s="746"/>
      <x:c r="D38" s="746"/>
      <x:c r="E38" s="746"/>
      <x:c r="F38" s="746"/>
      <x:c r="G38" s="746"/>
      <x:c r="H38" s="746"/>
    </x:row>
    <x:row r="39">
      <x:c r="A39" s="734" t="str">
        <x:v>Задание</x:v>
      </x:c>
      <x:c r="B39" s="734" t="str">
        <x:v>Балл</x:v>
      </x:c>
      <x:c r="C39" s="734" t="str">
        <x:v>Макс.</x:v>
      </x:c>
      <x:c r="D39" s="734" t="str">
        <x:v>%</x:v>
      </x:c>
      <x:c r="E39" s="734" t="str">
        <x:v>Вердикт</x:v>
      </x:c>
      <x:c r="F39" s="734" t="str">
        <x:v>Что засчитано</x:v>
      </x:c>
      <x:c r="G39" s="734" t="str">
        <x:v>Что исправить</x:v>
      </x:c>
      <x:c r="H39" s="734" t="str">
        <x:v>Комментарий</x:v>
      </x:c>
    </x:row>
    <x:row r="40" ht="46" customHeight="1">
      <x:c r="A40" s="735" t="str">
        <x:v>A1–A20</x:v>
      </x:c>
      <x:c r="B40" s="736" t="n">
        <x:v>20</x:v>
      </x:c>
      <x:c r="C40" s="736" t="n">
        <x:v>20</x:v>
      </x:c>
      <x:c r="D40" s="831" t="n">
        <x:v>100</x:v>
      </x:c>
      <x:c r="E40" s="736" t="str">
        <x:v>Все верно</x:v>
      </x:c>
      <x:c r="F40" s="736" t="str">
        <x:v>20/20</x:v>
      </x:c>
      <x:c r="G40" s="736" t="str">
        <x:v>—</x:v>
      </x:c>
      <x:c r="H40" s="737" t="str">
        <x:v>Лучший тест Assessment Week на данный момент.</x:v>
      </x:c>
    </x:row>
    <x:row r="41" ht="46" customHeight="1">
      <x:c r="A41" s="738" t="str">
        <x:v>B1</x:v>
      </x:c>
      <x:c r="B41" s="584" t="n">
        <x:v>1.7</x:v>
      </x:c>
      <x:c r="C41" s="584" t="n">
        <x:v>2</x:v>
      </x:c>
      <x:c r="D41" s="682" t="n">
        <x:v>85</x:v>
      </x:c>
      <x:c r="E41" s="584" t="str">
        <x:v>Хорошо</x:v>
      </x:c>
      <x:c r="F41" s="584" t="str">
        <x:v>ARP broadcast, destination MAC, src/dst addresses</x:v>
      </x:c>
      <x:c r="G41" s="584" t="str">
        <x:v>Явно отделить Ethernet header от IP header</x:v>
      </x:c>
      <x:c r="H41" s="739" t="str">
        <x:v>Same-subnet packet flow в целом понимается.</x:v>
      </x:c>
    </x:row>
    <x:row r="42" ht="46" customHeight="1">
      <x:c r="A42" s="738" t="str">
        <x:v>B2</x:v>
      </x:c>
      <x:c r="B42" s="584" t="n">
        <x:v>1.3</x:v>
      </x:c>
      <x:c r="C42" s="584" t="n">
        <x:v>2</x:v>
      </x:c>
      <x:c r="D42" s="682" t="n">
        <x:v>65</x:v>
      </x:c>
      <x:c r="E42" s="584" t="str">
        <x:v>Частично</x:v>
      </x:c>
      <x:c r="F42" s="584" t="str">
        <x:v>remote destination→default gateway</x:v>
      </x:c>
      <x:c r="G42" s="584" t="str">
        <x:v>ARP for gateway MAC; dst IP остается 8.8.8.8</x:v>
      </x:c>
      <x:c r="H42" s="739" t="str">
        <x:v>Gateway role понятна.</x:v>
      </x:c>
    </x:row>
    <x:row r="43" ht="46" customHeight="1">
      <x:c r="A43" s="738" t="str">
        <x:v>B3</x:v>
      </x:c>
      <x:c r="B43" s="584" t="n">
        <x:v>0.8</x:v>
      </x:c>
      <x:c r="C43" s="584" t="n">
        <x:v>2</x:v>
      </x:c>
      <x:c r="D43" s="682" t="n">
        <x:v>40</x:v>
      </x:c>
      <x:c r="E43" s="584" t="str">
        <x:v>Слабо</x:v>
      </x:c>
      <x:c r="F43" s="584" t="str">
        <x:v>broadcast domain/VLAN</x:v>
      </x:c>
      <x:c r="G43" s="584" t="str">
        <x:v>collision domain; switch splits collision domains, router/VLAN broadcast domains</x:v>
      </x:c>
      <x:c r="H43" s="739" t="str">
        <x:v>Половина вопроса отсутствует.</x:v>
      </x:c>
    </x:row>
    <x:row r="44" ht="46" customHeight="1">
      <x:c r="A44" s="738" t="str">
        <x:v>B4</x:v>
      </x:c>
      <x:c r="B44" s="584" t="n">
        <x:v>1.5</x:v>
      </x:c>
      <x:c r="C44" s="584" t="n">
        <x:v>2</x:v>
      </x:c>
      <x:c r="D44" s="682" t="n">
        <x:v>75</x:v>
      </x:c>
      <x:c r="E44" s="584" t="str">
        <x:v>Хорошо</x:v>
      </x:c>
      <x:c r="F44" s="584" t="str">
        <x:v>access/trunk и allowed VLAN mismatch</x:v>
      </x:c>
      <x:c r="G44" s="584" t="str">
        <x:v>native/tagging mismatch consequences</x:v>
      </x:c>
      <x:c r="H44" s="739" t="str">
        <x:v>Прикладная логика верна.</x:v>
      </x:c>
    </x:row>
    <x:row r="45" ht="46" customHeight="1">
      <x:c r="A45" s="738" t="str">
        <x:v>B5</x:v>
      </x:c>
      <x:c r="B45" s="584" t="n">
        <x:v>1.4</x:v>
      </x:c>
      <x:c r="C45" s="584" t="n">
        <x:v>2</x:v>
      </x:c>
      <x:c r="D45" s="682" t="n">
        <x:v>70</x:v>
      </x:c>
      <x:c r="E45" s="584" t="str">
        <x:v>Хорошо</x:v>
      </x:c>
      <x:c r="F45" s="584" t="str">
        <x:v>STP предотвращает loops, резервный link blocks</x:v>
      </x:c>
      <x:c r="G45" s="584" t="str">
        <x:v>root bridge role/path cost/election</x:v>
      </x:c>
      <x:c r="H45" s="739" t="str">
        <x:v>Основная идея есть.</x:v>
      </x:c>
    </x:row>
    <x:row r="46" ht="46" customHeight="1">
      <x:c r="A46" s="738" t="str">
        <x:v>B6</x:v>
      </x:c>
      <x:c r="B46" s="584" t="n">
        <x:v>1.4</x:v>
      </x:c>
      <x:c r="C46" s="584" t="n">
        <x:v>2</x:v>
      </x:c>
      <x:c r="D46" s="682" t="n">
        <x:v>70</x:v>
      </x:c>
      <x:c r="E46" s="584" t="str">
        <x:v>Хорошо</x:v>
      </x:c>
      <x:c r="F46" s="584" t="str">
        <x:v>static manual; dynamic adapts</x:v>
      </x:c>
      <x:c r="G46" s="584" t="str">
        <x:v>DHCP host address changes не означают переписывание routes</x:v>
      </x:c>
      <x:c r="H46" s="739" t="str">
        <x:v>Есть небольшие ложные связи.</x:v>
      </x:c>
    </x:row>
    <x:row r="47" ht="46" customHeight="1">
      <x:c r="A47" s="738" t="str">
        <x:v>B7</x:v>
      </x:c>
      <x:c r="B47" s="584" t="n">
        <x:v>1.6</x:v>
      </x:c>
      <x:c r="C47" s="584" t="n">
        <x:v>2</x:v>
      </x:c>
      <x:c r="D47" s="682" t="n">
        <x:v>80</x:v>
      </x:c>
      <x:c r="E47" s="584" t="str">
        <x:v>Хорошо</x:v>
      </x:c>
      <x:c r="F47" s="584" t="str">
        <x:v>NAT/PAT, IPv4 scarcity, inbound limitation</x:v>
      </x:c>
      <x:c r="G47" s="584" t="str">
        <x:v>четче SNAT vs DNAT/port forwarding</x:v>
      </x:c>
      <x:c r="H47" s="739" t="str">
        <x:v>Сильный прикладной ответ.</x:v>
      </x:c>
    </x:row>
    <x:row r="48" ht="46" customHeight="1">
      <x:c r="A48" s="738" t="str">
        <x:v>B8</x:v>
      </x:c>
      <x:c r="B48" s="584" t="n">
        <x:v>1.6</x:v>
      </x:c>
      <x:c r="C48" s="584" t="n">
        <x:v>2</x:v>
      </x:c>
      <x:c r="D48" s="682" t="n">
        <x:v>80</x:v>
      </x:c>
      <x:c r="E48" s="584" t="str">
        <x:v>Хорошо</x:v>
      </x:c>
      <x:c r="F48" s="584" t="str">
        <x:v>DNS resolution; DHCP IP/mask/gateway</x:v>
      </x:c>
      <x:c r="G48" s="584" t="str">
        <x:v>DHCP обычно также DNS, lease/options; reverse DNS отдельно</x:v>
      </x:c>
      <x:c r="H48" s="739" t="str">
        <x:v>Хорошо.</x:v>
      </x:c>
    </x:row>
    <x:row r="49" ht="46" customHeight="1">
      <x:c r="A49" s="738" t="str">
        <x:v>B9</x:v>
      </x:c>
      <x:c r="B49" s="584" t="n">
        <x:v>1.3</x:v>
      </x:c>
      <x:c r="C49" s="584" t="n">
        <x:v>2</x:v>
      </x:c>
      <x:c r="D49" s="682" t="n">
        <x:v>65</x:v>
      </x:c>
      <x:c r="E49" s="584" t="str">
        <x:v>Частично</x:v>
      </x:c>
      <x:c r="F49" s="584" t="str">
        <x:v>stateful tracks connection state</x:v>
      </x:c>
      <x:c r="G49" s="584" t="str">
        <x:v>NEW vs ESTABLISHED/RELATED и return traffic</x:v>
      </x:c>
      <x:c r="H49" s="739" t="str">
        <x:v>Правильное направление.</x:v>
      </x:c>
    </x:row>
    <x:row r="50" ht="46" customHeight="1">
      <x:c r="A50" s="738" t="str">
        <x:v>B10</x:v>
      </x:c>
      <x:c r="B50" s="584" t="n">
        <x:v>1.7</x:v>
      </x:c>
      <x:c r="C50" s="584" t="n">
        <x:v>2</x:v>
      </x:c>
      <x:c r="D50" s="682" t="n">
        <x:v>85</x:v>
      </x:c>
      <x:c r="E50" s="584" t="str">
        <x:v>Хорошо</x:v>
      </x:c>
      <x:c r="F50" s="584" t="str">
        <x:v>L1→L2→IP/routing→DNS→app</x:v>
      </x:c>
      <x:c r="G50" s="584" t="str">
        <x:v>ARP/core формулировка неточна; лучше local config/gateway/DNS tests</x:v>
      </x:c>
      <x:c r="H50" s="739" t="str">
        <x:v>Сильный troubleshooting mindset.</x:v>
      </x:c>
    </x:row>
    <x:row r="51" ht="46" customHeight="1">
      <x:c r="A51" s="738" t="str">
        <x:v>C1</x:v>
      </x:c>
      <x:c r="B51" s="584" t="n">
        <x:v>2.2</x:v>
      </x:c>
      <x:c r="C51" s="584" t="n">
        <x:v>5</x:v>
      </x:c>
      <x:c r="D51" s="682" t="n">
        <x:v>44</x:v>
      </x:c>
      <x:c r="E51" s="584" t="str">
        <x:v>Слабо-средне</x:v>
      </x:c>
      <x:c r="F51" s="584" t="str">
        <x:v>gateway, MAC table, TTL</x:v>
      </x:c>
      <x:c r="G51" s="584" t="str">
        <x:v>IP endpoints не меняются без NAT; ARP gateway/server; Ethernet rewrite</x:v>
      </x:c>
      <x:c r="H51" s="739" t="str">
        <x:v>Ключевая модель требует исправления.</x:v>
      </x:c>
    </x:row>
    <x:row r="52" ht="46" customHeight="1">
      <x:c r="A52" s="738" t="str">
        <x:v>C2</x:v>
      </x:c>
      <x:c r="B52" s="584" t="n">
        <x:v>2.8</x:v>
      </x:c>
      <x:c r="C52" s="584" t="n">
        <x:v>5</x:v>
      </x:c>
      <x:c r="D52" s="682" t="n">
        <x:v>56</x:v>
      </x:c>
      <x:c r="E52" s="584" t="str">
        <x:v>Средне</x:v>
      </x:c>
      <x:c r="F52" s="584" t="str">
        <x:v>segmentation, access/trunk, tagging, gateway, policy смысл</x:v>
      </x:c>
      <x:c r="G52" s="584" t="str">
        <x:v>SVI и inter-VLAN routing перепутаны с intra-VLAN</x:v>
      </x:c>
      <x:c r="H52" s="739" t="str">
        <x:v>Security-смысл хороший.</x:v>
      </x:c>
    </x:row>
    <x:row r="53" ht="46" customHeight="1">
      <x:c r="A53" s="738" t="str">
        <x:v>C3</x:v>
      </x:c>
      <x:c r="B53" s="584" t="n">
        <x:v>2.6</x:v>
      </x:c>
      <x:c r="C53" s="584" t="n">
        <x:v>5</x:v>
      </x:c>
      <x:c r="D53" s="682" t="n">
        <x:v>52</x:v>
      </x:c>
      <x:c r="E53" s="584" t="str">
        <x:v>Средне</x:v>
      </x:c>
      <x:c r="F53" s="584" t="str">
        <x:v>STP vs LAG vs VRRP как разные задачи</x:v>
      </x:c>
      <x:c r="G53" s="584" t="str">
        <x:v>VRRP priority обычно выше→master; VRRP ≠ LACP/peer detection; throughput nuance</x:v>
      </x:c>
      <x:c r="H53" s="739" t="str">
        <x:v>Опыт виден, но технологии смешаны.</x:v>
      </x:c>
    </x:row>
    <x:row r="54" ht="46" customHeight="1">
      <x:c r="A54" s="738" t="str">
        <x:v>C4</x:v>
      </x:c>
      <x:c r="B54" s="584" t="n">
        <x:v>3.2</x:v>
      </x:c>
      <x:c r="C54" s="584" t="n">
        <x:v>5</x:v>
      </x:c>
      <x:c r="D54" s="682" t="n">
        <x:v>64</x:v>
      </x:c>
      <x:c r="E54" s="584" t="str">
        <x:v>Хорошо</x:v>
      </x:c>
      <x:c r="F54" s="584" t="str">
        <x:v>DNS, gateway, firewall/NAT, TCP handshake, 443/TLS hypotheses</x:v>
      </x:c>
      <x:c r="G54" s="584" t="str">
        <x:v>ARP, route/NAT translation/stateful return подробнее</x:v>
      </x:c>
      <x:c r="H54" s="739" t="str">
        <x:v>Хорошая end-to-end логика.</x:v>
      </x:c>
    </x:row>
    <x:row r="55" ht="46" customHeight="1">
      <x:c r="A55" s="738" t="str">
        <x:v>D1</x:v>
      </x:c>
      <x:c r="B55" s="584" t="n">
        <x:v>5</x:v>
      </x:c>
      <x:c r="C55" s="584" t="n">
        <x:v>5</x:v>
      </x:c>
      <x:c r="D55" s="682" t="n">
        <x:v>100</x:v>
      </x:c>
      <x:c r="E55" s="584" t="str">
        <x:v>Отлично</x:v>
      </x:c>
      <x:c r="F55" s="584" t="str">
        <x:v>/26, mask, network, usable, broadcast, next subnet</x:v>
      </x:c>
      <x:c r="G55" s="584" t="str">
        <x:v>—</x:v>
      </x:c>
      <x:c r="H55" s="739" t="str">
        <x:v>Полностью правильно.</x:v>
      </x:c>
    </x:row>
    <x:row r="56" ht="46" customHeight="1">
      <x:c r="A56" s="738" t="str">
        <x:v>D2</x:v>
      </x:c>
      <x:c r="B56" s="584" t="n">
        <x:v>3.3</x:v>
      </x:c>
      <x:c r="C56" s="584" t="n">
        <x:v>5</x:v>
      </x:c>
      <x:c r="D56" s="682" t="n">
        <x:v>66</x:v>
      </x:c>
      <x:c r="E56" s="584" t="str">
        <x:v>Средне</x:v>
      </x:c>
      <x:c r="F56" s="584" t="str">
        <x:v>причина access VLAN10; нужен trunk VLAN10/20</x:v>
      </x:c>
      <x:c r="G56" s="584" t="str">
        <x:v>trunk tagging CLI; VLAN existence/access membership/STP/PVID checks</x:v>
      </x:c>
      <x:c r="H56" s="739" t="str">
        <x:v>Основная логика правильная.</x:v>
      </x:c>
    </x:row>
    <x:row r="57" ht="46" customHeight="1">
      <x:c r="A57" s="738" t="str">
        <x:v>D3</x:v>
      </x:c>
      <x:c r="B57" s="584" t="n">
        <x:v>4.5</x:v>
      </x:c>
      <x:c r="C57" s="584" t="n">
        <x:v>5</x:v>
      </x:c>
      <x:c r="D57" s="682" t="n">
        <x:v>90</x:v>
      </x:c>
      <x:c r="E57" s="584" t="str">
        <x:v>Очень хорошо</x:v>
      </x:c>
      <x:c r="F57" s="584" t="str">
        <x:v>все next-hop верны; narrowest scope</x:v>
      </x:c>
      <x:c r="G57" s="584" t="str">
        <x:v>назвать принцип Longest Prefix Match</x:v>
      </x:c>
      <x:c r="H57" s="739" t="str">
        <x:v>Практически полностью.</x:v>
      </x:c>
    </x:row>
    <x:row r="58" ht="46" customHeight="1">
      <x:c r="A58" s="738" t="str">
        <x:v>D4</x:v>
      </x:c>
      <x:c r="B58" s="584" t="n">
        <x:v>2.7</x:v>
      </x:c>
      <x:c r="C58" s="584" t="n">
        <x:v>5</x:v>
      </x:c>
      <x:c r="D58" s="682" t="n">
        <x:v>54</x:v>
      </x:c>
      <x:c r="E58" s="584" t="str">
        <x:v>Средне</x:v>
      </x:c>
      <x:c r="F58" s="584" t="str">
        <x:v>HTTPS permit, deny rest, rule order, admin intent</x:v>
      </x:c>
      <x:c r="G58" s="584" t="str">
        <x:v>stateful ESTABLISHED rule; admin = any protocol; reverse ACL не нужен</x:v>
      </x:c>
      <x:c r="H58" s="739" t="str">
        <x:v>Знание firewall ближе к ACL.</x:v>
      </x:c>
    </x:row>
    <x:row r="59" ht="46" customHeight="1">
      <x:c r="A59" s="738" t="str">
        <x:v>E1</x:v>
      </x:c>
      <x:c r="B59" s="584" t="n">
        <x:v>0.8</x:v>
      </x:c>
      <x:c r="C59" s="584" t="n">
        <x:v>2.5</x:v>
      </x:c>
      <x:c r="D59" s="682" t="n">
        <x:v>32</x:v>
      </x:c>
      <x:c r="E59" s="584" t="str">
        <x:v>Слабо</x:v>
      </x:c>
      <x:c r="F59" s="584" t="str">
        <x:v>ICMP может быть blocked; замечен MAC flap/redundancy</x:v>
      </x:c>
      <x:c r="G59" s="584" t="str">
        <x:v>нужно ≥6 гипотез: trunk/VLAN/LAG/STP/MAC loop/FHRP/firewall/path</x:v>
      </x:c>
      <x:c r="H59" s="739" t="str">
        <x:v>Гипотез мало и часть смешана.</x:v>
      </x:c>
    </x:row>
    <x:row r="60" ht="46" customHeight="1">
      <x:c r="A60" s="738" t="str">
        <x:v>E2</x:v>
      </x:c>
      <x:c r="B60" s="584" t="n">
        <x:v>1.4</x:v>
      </x:c>
      <x:c r="C60" s="584" t="n">
        <x:v>2.5</x:v>
      </x:c>
      <x:c r="D60" s="682" t="n">
        <x:v>56</x:v>
      </x:c>
      <x:c r="E60" s="584" t="str">
        <x:v>Средне</x:v>
      </x:c>
      <x:c r="F60" s="584" t="str">
        <x:v>ipconfig, TCP443, traceroute</x:v>
      </x:c>
      <x:c r="G60" s="584" t="str">
        <x:v>ARP table, gateway route, local TCP test results and interpretations</x:v>
      </x:c>
      <x:c r="H60" s="739" t="str">
        <x:v>Диагностика рабочая, но неполная.</x:v>
      </x:c>
    </x:row>
    <x:row r="61" ht="46" customHeight="1">
      <x:c r="A61" s="738" t="str">
        <x:v>E3</x:v>
      </x:c>
      <x:c r="B61" s="584" t="n">
        <x:v>1.7</x:v>
      </x:c>
      <x:c r="C61" s="584" t="n">
        <x:v>2.5</x:v>
      </x:c>
      <x:c r="D61" s="682" t="n">
        <x:v>68</x:v>
      </x:c>
      <x:c r="E61" s="584" t="str">
        <x:v>Хорошо</x:v>
      </x:c>
      <x:c r="F61" s="584" t="str">
        <x:v>access VLAN, MAC table, logs, allowed VLAN, STP, utilization</x:v>
      </x:c>
      <x:c r="G61" s="584" t="str">
        <x:v>native/tagging exact checks; virtual MAC statement не к месту</x:v>
      </x:c>
      <x:c r="H61" s="739" t="str">
        <x:v>Хорошая практическая ширина.</x:v>
      </x:c>
    </x:row>
    <x:row r="62" ht="46" customHeight="1">
      <x:c r="A62" s="738" t="str">
        <x:v>E4</x:v>
      </x:c>
      <x:c r="B62" s="584" t="n">
        <x:v>1</x:v>
      </x:c>
      <x:c r="C62" s="584" t="n">
        <x:v>2.5</x:v>
      </x:c>
      <x:c r="D62" s="682" t="n">
        <x:v>40</x:v>
      </x:c>
      <x:c r="E62" s="584" t="str">
        <x:v>Слабо</x:v>
      </x:c>
      <x:c r="F62" s="584" t="str">
        <x:v>show LACP on both sides; physical up insufficient implicit</x:v>
      </x:c>
      <x:c r="G62" s="584" t="str">
        <x:v>LACP member/bundle state, hashing, partner IDs; не путать VRRP/MLAG; не shutdown node первым</x:v>
      </x:c>
      <x:c r="H62" s="739" t="str">
        <x:v>Технологии redundancy смешаны.</x:v>
      </x:c>
    </x:row>
    <x:row r="63" ht="46" customHeight="1">
      <x:c r="A63" s="738" t="str">
        <x:v>E5</x:v>
      </x:c>
      <x:c r="B63" s="584" t="n">
        <x:v>1.4</x:v>
      </x:c>
      <x:c r="C63" s="584" t="n">
        <x:v>2.5</x:v>
      </x:c>
      <x:c r="D63" s="682" t="n">
        <x:v>56</x:v>
      </x:c>
      <x:c r="E63" s="584" t="str">
        <x:v>Средне</x:v>
      </x:c>
      <x:c r="F63" s="584" t="str">
        <x:v>MAC moving between ports, spoofing risk</x:v>
      </x:c>
      <x:c r="G63" s="584" t="str">
        <x:v>loops, host mobility, duplicate cabling/MLAG, LAG misconfig; evidence</x:v>
      </x:c>
      <x:c r="H63" s="739" t="str">
        <x:v>Основное определение есть.</x:v>
      </x:c>
    </x:row>
    <x:row r="64" ht="46" customHeight="1">
      <x:c r="A64" s="738" t="str">
        <x:v>E6</x:v>
      </x:c>
      <x:c r="B64" s="584" t="n">
        <x:v>0.6</x:v>
      </x:c>
      <x:c r="C64" s="584" t="n">
        <x:v>2.5</x:v>
      </x:c>
      <x:c r="D64" s="682" t="n">
        <x:v>24</x:v>
      </x:c>
      <x:c r="E64" s="584" t="str">
        <x:v>Слабо</x:v>
      </x:c>
      <x:c r="F64" s="584" t="str">
        <x:v>проверить routing configs on cores</x:v>
      </x:c>
      <x:c r="G64" s="584" t="str">
        <x:v>VRRP/FHRP не управляет LAG; SVI/virtual IP/ARP/master state</x:v>
      </x:c>
      <x:c r="H64" s="739" t="str">
        <x:v>Главный conceptual gap кейса.</x:v>
      </x:c>
    </x:row>
    <x:row r="65" ht="46" customHeight="1">
      <x:c r="A65" s="738" t="str">
        <x:v>E7</x:v>
      </x:c>
      <x:c r="B65" s="584" t="n">
        <x:v>2</x:v>
      </x:c>
      <x:c r="C65" s="584" t="n">
        <x:v>2.5</x:v>
      </x:c>
      <x:c r="D65" s="682" t="n">
        <x:v>80</x:v>
      </x:c>
      <x:c r="E65" s="584" t="str">
        <x:v>Хорошо</x:v>
      </x:c>
      <x:c r="F65" s="584" t="str">
        <x:v>ICMP ≠ TCP443; TCP test, traceroute, firewall logs</x:v>
      </x:c>
      <x:c r="G65" s="584" t="str">
        <x:v>application test/curl/TLS/server listener, route logs precise</x:v>
      </x:c>
      <x:c r="H65" s="739" t="str">
        <x:v>Один из лучших ответов кейса.</x:v>
      </x:c>
    </x:row>
    <x:row r="66" ht="46" customHeight="1">
      <x:c r="A66" s="740" t="str">
        <x:v>E8</x:v>
      </x:c>
      <x:c r="B66" s="741" t="n">
        <x:v>1.4</x:v>
      </x:c>
      <x:c r="C66" s="741" t="n">
        <x:v>2.5</x:v>
      </x:c>
      <x:c r="D66" s="832" t="n">
        <x:v>56</x:v>
      </x:c>
      <x:c r="E66" s="741" t="str">
        <x:v>Средне</x:v>
      </x:c>
      <x:c r="F66" s="741" t="str">
        <x:v>минимально разрушительные проверки, backups, avoid blind changes</x:v>
      </x:c>
      <x:c r="G66" s="741" t="str">
        <x:v>нужен четкий порядок client→access→uplink/LAG→core/FHRP→FW→app</x:v>
      </x:c>
      <x:c r="H66" s="742" t="str">
        <x:v>Правильная инженерная осторожность.</x:v>
      </x:c>
    </x:row>
  </x:sheetData>
  <x:mergeCells>
    <x:mergeCell ref="A1:H2"/>
    <x:mergeCell ref="A3:H3"/>
    <x:mergeCell ref="A12:H12"/>
    <x:mergeCell ref="D13:H17"/>
    <x:mergeCell ref="A19:H19"/>
    <x:mergeCell ref="A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B35:C35"/>
    <x:mergeCell ref="D35:H35"/>
    <x:mergeCell ref="A38:H38"/>
  </x:mergeCells>
  <x:conditionalFormatting sqref="B21:B27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{9D8FE2FA-8D21-E265-E3CE-3FC9422E199E}</x14:id>
        </x:ext>
      </x:extLst>
    </x:cfRule>
  </x:conditionalFormatting>
  <x:conditionalFormatting sqref="C21:C27">
    <x:cfRule type="expression" dxfId="14" priority="2">
      <x:formula>C21="Высокий"</x:formula>
    </x:cfRule>
    <x:cfRule type="expression" dxfId="15" priority="3">
      <x:formula>C21="Средний"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D8FE2FA-8D21-E265-E3CE-3FC9422E199E}">
            <x14:dataBar gradient="1">
              <x14:cfvo type="min"/>
              <x14:cfvo type="max"/>
              <x14:fillColor rgb="FF0F9ED5"/>
            </x14:dataBar>
          </x14:cfRule>
          <xm:sqref>B21:B27</xm:sqref>
        </x14:conditionalFormatting>
      </x14:conditionalFormattings>
    </x:ext>
  </x:extLst>
</x:worksheet>
</file>